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hart of Accounts" sheetId="2" state="visible" r:id="rId4"/>
    <sheet name="Transactions" sheetId="3" state="visible" r:id="rId5"/>
    <sheet name="Trial Balance" sheetId="4" state="visible" r:id="rId6"/>
    <sheet name="Profit and Loss" sheetId="5" state="visible" r:id="rId7"/>
    <sheet name="Balance Sheet" sheetId="6" state="visible" r:id="rId8"/>
    <sheet name="Cash Flow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<sst xmlns="http://schemas.openxmlformats.org/spreadsheetml/2006/main" count="223" uniqueCount="140">
  <si>
    <t xml:space="preserve">SkyConnect Airlines — Executive Dashboard</t>
  </si>
  <si>
    <t xml:space="preserve">Period: January 2026 | Currency: SAR</t>
  </si>
  <si>
    <t xml:space="preserve">Operational Inputs (editable)</t>
  </si>
  <si>
    <t xml:space="preserve">Flights Operated (month)</t>
  </si>
  <si>
    <t xml:space="preserve">Available Seat KM (ASK, million)</t>
  </si>
  <si>
    <t xml:space="preserve">Revenue Passenger KM (RPK, million)</t>
  </si>
  <si>
    <t xml:space="preserve">Total Revenue (SAR)</t>
  </si>
  <si>
    <t xml:space="preserve">Total OPEX (SAR)</t>
  </si>
  <si>
    <t xml:space="preserve">Net Profit (SAR)</t>
  </si>
  <si>
    <t xml:space="preserve">Cash Position (SAR)</t>
  </si>
  <si>
    <t xml:space="preserve">Fuel Cost % of Revenue</t>
  </si>
  <si>
    <t xml:space="preserve">Net Profit Margin %</t>
  </si>
  <si>
    <t xml:space="preserve">Load Factor % (RPK/ASK)</t>
  </si>
  <si>
    <t xml:space="preserve">Revenue per Flight (SAR)</t>
  </si>
  <si>
    <t xml:space="preserve">Cost per Flight (SAR)</t>
  </si>
  <si>
    <t xml:space="preserve">Revenue Breakdown</t>
  </si>
  <si>
    <t xml:space="preserve">Expense Breakdown</t>
  </si>
  <si>
    <t xml:space="preserve">Account</t>
  </si>
  <si>
    <t xml:space="preserve">Amount</t>
  </si>
  <si>
    <t xml:space="preserve">Passenger Revenue</t>
  </si>
  <si>
    <t xml:space="preserve">Fuel Expense</t>
  </si>
  <si>
    <t xml:space="preserve">Cargo Revenue</t>
  </si>
  <si>
    <t xml:space="preserve">Maintenance Expense</t>
  </si>
  <si>
    <t xml:space="preserve">Charter Revenue</t>
  </si>
  <si>
    <t xml:space="preserve">Salary Expense</t>
  </si>
  <si>
    <t xml:space="preserve">Airport Charges</t>
  </si>
  <si>
    <t xml:space="preserve">Marketing Expense</t>
  </si>
  <si>
    <t xml:space="preserve">Insurance Expense</t>
  </si>
  <si>
    <t xml:space="preserve">Office Rent</t>
  </si>
  <si>
    <t xml:space="preserve">IT Expense</t>
  </si>
  <si>
    <t xml:space="preserve">Utilities Expense</t>
  </si>
  <si>
    <t xml:space="preserve">SkyConnect Airlines — Chart of Accounts</t>
  </si>
  <si>
    <t xml:space="preserve">Base Currency: SAR | Financial Year: Jan-Dec</t>
  </si>
  <si>
    <t xml:space="preserve">Account Code</t>
  </si>
  <si>
    <t xml:space="preserve">Account Name</t>
  </si>
  <si>
    <t xml:space="preserve">Type</t>
  </si>
  <si>
    <t xml:space="preserve">Statement Section</t>
  </si>
  <si>
    <t xml:space="preserve">Cash</t>
  </si>
  <si>
    <t xml:space="preserve">Asset</t>
  </si>
  <si>
    <t xml:space="preserve">Current Asset</t>
  </si>
  <si>
    <t xml:space="preserve">Bank</t>
  </si>
  <si>
    <t xml:space="preserve">Accounts Receivable</t>
  </si>
  <si>
    <t xml:space="preserve">Inventory</t>
  </si>
  <si>
    <t xml:space="preserve">Prepaid Expenses</t>
  </si>
  <si>
    <t xml:space="preserve">Lease Deposit</t>
  </si>
  <si>
    <t xml:space="preserve">Non-Current Asset</t>
  </si>
  <si>
    <t xml:space="preserve">Aircraft</t>
  </si>
  <si>
    <t xml:space="preserve">Ground Equipment</t>
  </si>
  <si>
    <t xml:space="preserve">Office Equipment</t>
  </si>
  <si>
    <t xml:space="preserve">Accounts Payable</t>
  </si>
  <si>
    <t xml:space="preserve">Liability</t>
  </si>
  <si>
    <t xml:space="preserve">Current Liability</t>
  </si>
  <si>
    <t xml:space="preserve">Accrued Expenses</t>
  </si>
  <si>
    <t xml:space="preserve">Lease Liability</t>
  </si>
  <si>
    <t xml:space="preserve">Non-Current Liability</t>
  </si>
  <si>
    <t xml:space="preserve">Share Capital</t>
  </si>
  <si>
    <t xml:space="preserve">Equity</t>
  </si>
  <si>
    <t xml:space="preserve">Retained Earnings</t>
  </si>
  <si>
    <t xml:space="preserve">Revenue</t>
  </si>
  <si>
    <t xml:space="preserve">Operating Revenue</t>
  </si>
  <si>
    <t xml:space="preserve">Expense</t>
  </si>
  <si>
    <t xml:space="preserve">Operating Expense</t>
  </si>
  <si>
    <t xml:space="preserve">SkyConnect Airlines — Transaction Log (Dynamic Input Table)</t>
  </si>
  <si>
    <t xml:space="preserve">Add new rows to the table below — Trial Balance, P&amp;L, Balance Sheet and Dashboard update automatically.</t>
  </si>
  <si>
    <t xml:space="preserve">Date</t>
  </si>
  <si>
    <t xml:space="preserve">Description</t>
  </si>
  <si>
    <t xml:space="preserve">Debit Account Code</t>
  </si>
  <si>
    <t xml:space="preserve">Debit Account Name</t>
  </si>
  <si>
    <t xml:space="preserve">Credit Account Code</t>
  </si>
  <si>
    <t xml:space="preserve">Credit Account Name</t>
  </si>
  <si>
    <t xml:space="preserve">Amount (SAR)</t>
  </si>
  <si>
    <t xml:space="preserve">2026-01-01</t>
  </si>
  <si>
    <t xml:space="preserve">Owner invested capital</t>
  </si>
  <si>
    <t xml:space="preserve">2026-01-02</t>
  </si>
  <si>
    <t xml:space="preserve">Purchased office furniture</t>
  </si>
  <si>
    <t xml:space="preserve">2026-01-03</t>
  </si>
  <si>
    <t xml:space="preserve">Aircraft lease deposit</t>
  </si>
  <si>
    <t xml:space="preserve">2026-01-04</t>
  </si>
  <si>
    <t xml:space="preserve">Fuel purchased</t>
  </si>
  <si>
    <t xml:space="preserve">2026-01-05</t>
  </si>
  <si>
    <t xml:space="preserve">Passenger ticket sales</t>
  </si>
  <si>
    <t xml:space="preserve">2026-01-06</t>
  </si>
  <si>
    <t xml:space="preserve">Cargo revenue</t>
  </si>
  <si>
    <t xml:space="preserve">2026-01-07</t>
  </si>
  <si>
    <t xml:space="preserve">Airport landing fees</t>
  </si>
  <si>
    <t xml:space="preserve">2026-01-08</t>
  </si>
  <si>
    <t xml:space="preserve">Crew salaries</t>
  </si>
  <si>
    <t xml:space="preserve">2026-01-09</t>
  </si>
  <si>
    <t xml:space="preserve">Aircraft maintenance</t>
  </si>
  <si>
    <t xml:space="preserve">2026-01-10</t>
  </si>
  <si>
    <t xml:space="preserve">Insurance premium</t>
  </si>
  <si>
    <t xml:space="preserve">2026-01-11</t>
  </si>
  <si>
    <t xml:space="preserve">Marketing campaign</t>
  </si>
  <si>
    <t xml:space="preserve">2026-01-12</t>
  </si>
  <si>
    <t xml:space="preserve">Office rent</t>
  </si>
  <si>
    <t xml:space="preserve">2026-01-13</t>
  </si>
  <si>
    <t xml:space="preserve">Utility bill</t>
  </si>
  <si>
    <t xml:space="preserve">2026-01-14</t>
  </si>
  <si>
    <t xml:space="preserve">IT software subscription</t>
  </si>
  <si>
    <t xml:space="preserve">SkyConnect Airlines — Trial Balance</t>
  </si>
  <si>
    <t xml:space="preserve">Auto-calculated from Transactions using SUMIF</t>
  </si>
  <si>
    <t xml:space="preserve">Debit (SAR)</t>
  </si>
  <si>
    <t xml:space="preserve">Credit (SAR)</t>
  </si>
  <si>
    <t xml:space="preserve">TOTAL</t>
  </si>
  <si>
    <t xml:space="preserve">Check (Debit = Credit):</t>
  </si>
  <si>
    <t xml:space="preserve">SkyConnect Airlines — Profit &amp; Loss Statement</t>
  </si>
  <si>
    <t xml:space="preserve">For the period ended 31-Jan-2026 (SAR)</t>
  </si>
  <si>
    <t xml:space="preserve">REVENUE</t>
  </si>
  <si>
    <t xml:space="preserve">Total Revenue</t>
  </si>
  <si>
    <t xml:space="preserve">OPERATING EXPENSES</t>
  </si>
  <si>
    <t xml:space="preserve">Total Operating Expenses</t>
  </si>
  <si>
    <t xml:space="preserve">NET PROFIT / (LOSS)</t>
  </si>
  <si>
    <t xml:space="preserve">SkyConnect Airlines — Balance Sheet</t>
  </si>
  <si>
    <t xml:space="preserve">As at 31-Jan-2026 (SAR)</t>
  </si>
  <si>
    <t xml:space="preserve">ASSETS</t>
  </si>
  <si>
    <t xml:space="preserve">Total Assets</t>
  </si>
  <si>
    <t xml:space="preserve">LIABILITIES</t>
  </si>
  <si>
    <t xml:space="preserve">Total Liabilities</t>
  </si>
  <si>
    <t xml:space="preserve">EQUITY</t>
  </si>
  <si>
    <t xml:space="preserve">Retained Earnings (current period profit)</t>
  </si>
  <si>
    <t xml:space="preserve">Total Equity</t>
  </si>
  <si>
    <t xml:space="preserve">Total Liabilities + Equity</t>
  </si>
  <si>
    <t xml:space="preserve">Check (Assets = Liabilities + Equity):</t>
  </si>
  <si>
    <t xml:space="preserve">SkyConnect Airlines — Cash Flow Statement</t>
  </si>
  <si>
    <t xml:space="preserve">For the period ended 31-Jan-2026 (SAR) — Direct Method</t>
  </si>
  <si>
    <t xml:space="preserve">CASH FLOW FROM OPERATING ACTIVITIES</t>
  </si>
  <si>
    <t xml:space="preserve">Cash received from customers (Passenger, Cargo, Charter revenue)</t>
  </si>
  <si>
    <t xml:space="preserve">Cash paid for operating expenses</t>
  </si>
  <si>
    <t xml:space="preserve">Net Cash from Operating Activities</t>
  </si>
  <si>
    <t xml:space="preserve">CASH FLOW FROM INVESTING ACTIVITIES</t>
  </si>
  <si>
    <t xml:space="preserve">Purchase of Office Equipment</t>
  </si>
  <si>
    <t xml:space="preserve">Aircraft lease deposit paid</t>
  </si>
  <si>
    <t xml:space="preserve">Purchase of Aircraft</t>
  </si>
  <si>
    <t xml:space="preserve">Purchase of Ground Equipment</t>
  </si>
  <si>
    <t xml:space="preserve">Net Cash used in Investing Activities</t>
  </si>
  <si>
    <t xml:space="preserve">CASH FLOW FROM FINANCING ACTIVITIES</t>
  </si>
  <si>
    <t xml:space="preserve">Owner capital invested</t>
  </si>
  <si>
    <t xml:space="preserve">Net Cash from Financing Activities</t>
  </si>
  <si>
    <t xml:space="preserve">NET INCREASE IN CASH</t>
  </si>
  <si>
    <t xml:space="preserve">Closing Cash &amp; Bank Balance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</si>
</sst>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#,##0;\(#,##0\)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4F81BD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C0504D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Dashboard!$A$23:$A$25</c:f>
              <c:strCache>
                <c:ptCount val="3"/>
                <c:pt idx="0">
                  <c:v>Passenger Revenue</c:v>
                </c:pt>
                <c:pt idx="1">
                  <c:v>Cargo Revenue</c:v>
                </c:pt>
                <c:pt idx="2">
                  <c:v>Charter Revenue</c:v>
                </c:pt>
              </c:strCache>
            </c:strRef>
          </c:cat>
          <c:val>
            <c:numRef>
              <c:f>Dashboard!$B$23:$B$25</c:f>
              <c:numCache>
                <c:formatCode>#,##0</c:formatCode>
                <c:ptCount val="3"/>
                <c:pt idx="0">
                  <c:v>1250000</c:v>
                </c:pt>
                <c:pt idx="1">
                  <c:v>420000</c:v>
                </c:pt>
                <c:pt idx="2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Expense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Dashboard!$D$23:$D$31</c:f>
              <c:strCache>
                <c:ptCount val="9"/>
                <c:pt idx="0">
                  <c:v>Fuel Expense</c:v>
                </c:pt>
                <c:pt idx="1">
                  <c:v>Maintenance Expense</c:v>
                </c:pt>
                <c:pt idx="2">
                  <c:v>Salary Expense</c:v>
                </c:pt>
                <c:pt idx="3">
                  <c:v>Airport Charges</c:v>
                </c:pt>
                <c:pt idx="4">
                  <c:v>Marketing Expense</c:v>
                </c:pt>
                <c:pt idx="5">
                  <c:v>Insurance Expense</c:v>
                </c:pt>
                <c:pt idx="6">
                  <c:v>Office Rent</c:v>
                </c:pt>
                <c:pt idx="7">
                  <c:v>IT Expense</c:v>
                </c:pt>
                <c:pt idx="8">
                  <c:v>Utilities Expense</c:v>
                </c:pt>
              </c:strCache>
            </c:strRef>
          </c:cat>
          <c:val>
            <c:numRef>
              <c:f>Dashboard!$E$23:$E$31</c:f>
              <c:numCache>
                <c:formatCode>#,##0</c:formatCode>
                <c:ptCount val="9"/>
                <c:pt idx="0">
                  <c:v>350000</c:v>
                </c:pt>
                <c:pt idx="1">
                  <c:v>145000</c:v>
                </c:pt>
                <c:pt idx="2">
                  <c:v>280000</c:v>
                </c:pt>
                <c:pt idx="3">
                  <c:v>75000</c:v>
                </c:pt>
                <c:pt idx="4">
                  <c:v>60000</c:v>
                </c:pt>
                <c:pt idx="5">
                  <c:v>95000</c:v>
                </c:pt>
                <c:pt idx="6">
                  <c:v>40000</c:v>
                </c:pt>
                <c:pt idx="7">
                  <c:v>25000</c:v>
                </c:pt>
                <c:pt idx="8">
                  <c:v>18000</c:v>
                </c:pt>
              </c:numCache>
            </c:numRef>
          </c:val>
        </c:ser>
        <c:gapWidth val="150"/>
        <c:overlap val="0"/>
        <c:axId val="42858828"/>
        <c:axId val="38289568"/>
      </c:barChart>
      <c:catAx>
        <c:axId val="428588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289568"/>
        <c:crosses val="autoZero"/>
        <c:auto val="1"/>
        <c:lblAlgn val="ctr"/>
        <c:lblOffset val="100"/>
        <c:noMultiLvlLbl val="0"/>
      </c:catAx>
      <c:valAx>
        <c:axId val="382895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8588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25</xdr:row>
      <xdr:rowOff>112680</xdr:rowOff>
    </xdr:from>
    <xdr:to>
      <xdr:col>4</xdr:col>
      <xdr:colOff>654480</xdr:colOff>
      <xdr:row>40</xdr:row>
      <xdr:rowOff>134640</xdr:rowOff>
    </xdr:to>
    <xdr:graphicFrame>
      <xdr:nvGraphicFramePr>
        <xdr:cNvPr id="0" name="Chart 1"/>
        <xdr:cNvGraphicFramePr/>
      </xdr:nvGraphicFramePr>
      <xdr:xfrm>
        <a:off x="0" y="51436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31</xdr:row>
      <xdr:rowOff>112680</xdr:rowOff>
    </xdr:from>
    <xdr:to>
      <xdr:col>7</xdr:col>
      <xdr:colOff>387720</xdr:colOff>
      <xdr:row>46</xdr:row>
      <xdr:rowOff>134640</xdr:rowOff>
    </xdr:to>
    <xdr:graphicFrame>
      <xdr:nvGraphicFramePr>
        <xdr:cNvPr id="1" name="Chart 2"/>
        <xdr:cNvGraphicFramePr/>
      </xdr:nvGraphicFramePr>
      <xdr:xfrm>
        <a:off x="2537640" y="62866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OA" displayName="COA" ref="A4:D30" headerRowCount="1" totalsRowCount="0" totalsRowShown="0">
  <autoFilter ref="A4:D30"/>
  <tableColumns count="4">
    <tableColumn id="1" name="Account Code"/>
    <tableColumn id="2" name="Account Name"/>
    <tableColumn id="3" name="Type"/>
    <tableColumn id="4" name="Statement Section"/>
  </tableColumns>
</table>
</file>

<file path=xl/tables/table2.xml><?xml version="1.0" encoding="utf-8"?>
<table xmlns="http://schemas.openxmlformats.org/spreadsheetml/2006/main" id="2" name="Transactions" displayName="Transactions" ref="A4:G18" headerRowCount="1" totalsRowCount="0" totalsRowShown="0">
  <autoFilter ref="A4:G18"/>
  <tableColumns count="7">
    <tableColumn id="1" name="Date"/>
    <tableColumn id="2" name="Description"/>
    <tableColumn id="3" name="Debit Account Code"/>
    <tableColumn id="4" name="Debit Account Name"/>
    <tableColumn id="5" name="Credit Account Code"/>
    <tableColumn id="6" name="Credit Account Name"/>
    <tableColumn id="7" name="Amount (SAR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4"/>
    <col collapsed="false" customWidth="true" hidden="false" outlineLevel="0" max="5" min="4" style="0" width="16"/>
    <col collapsed="false" customWidth="true" hidden="false" outlineLevel="0" max="6" min="6" style="0" width="4"/>
    <col collapsed="false" customWidth="true" hidden="false" outlineLevel="0" max="7" min="7" style="0" width="30"/>
    <col collapsed="false" customWidth="true" hidden="false" outlineLevel="0" max="8" min="8" style="0" width="12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F4" s="3" t="s">
        <v>2</v>
      </c>
    </row>
    <row r="5" customFormat="false" ht="15" hidden="false" customHeight="false" outlineLevel="0" collapsed="false">
      <c r="F5" s="4" t="s">
        <v>3</v>
      </c>
      <c r="G5" s="5" t="n">
        <v>40</v>
      </c>
    </row>
    <row r="6" customFormat="false" ht="15" hidden="false" customHeight="false" outlineLevel="0" collapsed="false">
      <c r="F6" s="4" t="s">
        <v>4</v>
      </c>
      <c r="G6" s="5" t="n">
        <v>25</v>
      </c>
    </row>
    <row r="7" customFormat="false" ht="15" hidden="false" customHeight="false" outlineLevel="0" collapsed="false">
      <c r="F7" s="4" t="s">
        <v>5</v>
      </c>
      <c r="G7" s="5" t="n">
        <v>18.5</v>
      </c>
    </row>
    <row r="9" customFormat="false" ht="15" hidden="false" customHeight="false" outlineLevel="0" collapsed="false">
      <c r="A9" s="6" t="s">
        <v>6</v>
      </c>
      <c r="B9" s="6"/>
      <c r="C9" s="6" t="s">
        <v>7</v>
      </c>
      <c r="D9" s="6"/>
      <c r="E9" s="6" t="s">
        <v>8</v>
      </c>
      <c r="F9" s="6"/>
    </row>
    <row r="10" customFormat="false" ht="19.7" hidden="false" customHeight="false" outlineLevel="0" collapsed="false">
      <c r="A10" s="7" t="n">
        <f aca="false">'Profit and Loss'!C8</f>
        <v>1670000</v>
      </c>
      <c r="B10" s="7"/>
      <c r="C10" s="7" t="n">
        <f aca="false">'Profit and Loss'!C20</f>
        <v>1088000</v>
      </c>
      <c r="D10" s="7"/>
      <c r="E10" s="7" t="n">
        <f aca="false">'Profit and Loss'!C22</f>
        <v>582000</v>
      </c>
      <c r="F10" s="7"/>
    </row>
    <row r="12" customFormat="false" ht="15" hidden="false" customHeight="false" outlineLevel="0" collapsed="false">
      <c r="A12" s="6" t="s">
        <v>9</v>
      </c>
      <c r="B12" s="6"/>
      <c r="C12" s="6" t="s">
        <v>10</v>
      </c>
      <c r="D12" s="6"/>
      <c r="E12" s="6" t="s">
        <v>11</v>
      </c>
      <c r="F12" s="6"/>
    </row>
    <row r="13" customFormat="false" ht="19.7" hidden="false" customHeight="false" outlineLevel="0" collapsed="false">
      <c r="A13" s="7" t="n">
        <f aca="false">'Cash Flow'!C21</f>
        <v>12962000</v>
      </c>
      <c r="B13" s="7"/>
      <c r="C13" s="8" t="n">
        <f aca="false">'Profit and Loss'!C11/'Profit and Loss'!C8</f>
        <v>0.209580838323353</v>
      </c>
      <c r="D13" s="8"/>
      <c r="E13" s="8" t="n">
        <f aca="false">'Profit and Loss'!C22/'Profit and Loss'!C8</f>
        <v>0.348502994011976</v>
      </c>
      <c r="F13" s="8"/>
    </row>
    <row r="15" customFormat="false" ht="15" hidden="false" customHeight="false" outlineLevel="0" collapsed="false">
      <c r="A15" s="6" t="s">
        <v>12</v>
      </c>
      <c r="B15" s="6"/>
      <c r="C15" s="6" t="s">
        <v>13</v>
      </c>
      <c r="D15" s="6"/>
      <c r="E15" s="6" t="s">
        <v>14</v>
      </c>
      <c r="F15" s="6"/>
    </row>
    <row r="16" customFormat="false" ht="19.7" hidden="false" customHeight="false" outlineLevel="0" collapsed="false">
      <c r="A16" s="8" t="n">
        <f aca="false">G7/G6</f>
        <v>0.74</v>
      </c>
      <c r="B16" s="8"/>
      <c r="C16" s="7" t="n">
        <f aca="false">'Profit and Loss'!C8/G5</f>
        <v>41750</v>
      </c>
      <c r="D16" s="7"/>
      <c r="E16" s="7" t="n">
        <f aca="false">'Profit and Loss'!C20/G5</f>
        <v>27200</v>
      </c>
      <c r="F16" s="7"/>
    </row>
    <row r="21" customFormat="false" ht="15" hidden="false" customHeight="false" outlineLevel="0" collapsed="false">
      <c r="A21" s="9" t="s">
        <v>15</v>
      </c>
      <c r="D21" s="9" t="s">
        <v>16</v>
      </c>
    </row>
    <row r="22" customFormat="false" ht="15" hidden="false" customHeight="false" outlineLevel="0" collapsed="false">
      <c r="A22" s="10" t="s">
        <v>17</v>
      </c>
      <c r="B22" s="10" t="s">
        <v>18</v>
      </c>
      <c r="D22" s="10" t="s">
        <v>17</v>
      </c>
      <c r="E22" s="10" t="s">
        <v>18</v>
      </c>
    </row>
    <row r="23" customFormat="false" ht="15" hidden="false" customHeight="false" outlineLevel="0" collapsed="false">
      <c r="A23" s="11" t="s">
        <v>19</v>
      </c>
      <c r="B23" s="12" t="n">
        <f aca="false">SUMIF('Trial Balance'!$A$5:$A$30,4000,'Trial Balance'!$E$5:$E$30)-SUMIF('Trial Balance'!$A$5:$A$30,4000,'Trial Balance'!$D$5:$D$30)</f>
        <v>1250000</v>
      </c>
      <c r="D23" s="11" t="s">
        <v>20</v>
      </c>
      <c r="E23" s="12" t="n">
        <f aca="false">SUMIF('Trial Balance'!$A$5:$A$30,5000,'Trial Balance'!$D$5:$D$30)-SUMIF('Trial Balance'!$A$5:$A$30,5000,'Trial Balance'!$E$5:$E$30)</f>
        <v>350000</v>
      </c>
    </row>
    <row r="24" customFormat="false" ht="15" hidden="false" customHeight="false" outlineLevel="0" collapsed="false">
      <c r="A24" s="11" t="s">
        <v>21</v>
      </c>
      <c r="B24" s="12" t="n">
        <f aca="false">SUMIF('Trial Balance'!$A$5:$A$30,4010,'Trial Balance'!$E$5:$E$30)-SUMIF('Trial Balance'!$A$5:$A$30,4010,'Trial Balance'!$D$5:$D$30)</f>
        <v>420000</v>
      </c>
      <c r="D24" s="11" t="s">
        <v>22</v>
      </c>
      <c r="E24" s="12" t="n">
        <f aca="false">SUMIF('Trial Balance'!$A$5:$A$30,5100,'Trial Balance'!$D$5:$D$30)-SUMIF('Trial Balance'!$A$5:$A$30,5100,'Trial Balance'!$E$5:$E$30)</f>
        <v>145000</v>
      </c>
    </row>
    <row r="25" customFormat="false" ht="15" hidden="false" customHeight="false" outlineLevel="0" collapsed="false">
      <c r="A25" s="11" t="s">
        <v>23</v>
      </c>
      <c r="B25" s="12" t="n">
        <f aca="false">SUMIF('Trial Balance'!$A$5:$A$30,4020,'Trial Balance'!$E$5:$E$30)-SUMIF('Trial Balance'!$A$5:$A$30,4020,'Trial Balance'!$D$5:$D$30)</f>
        <v>0</v>
      </c>
      <c r="D25" s="11" t="s">
        <v>24</v>
      </c>
      <c r="E25" s="12" t="n">
        <f aca="false">SUMIF('Trial Balance'!$A$5:$A$30,5200,'Trial Balance'!$D$5:$D$30)-SUMIF('Trial Balance'!$A$5:$A$30,5200,'Trial Balance'!$E$5:$E$30)</f>
        <v>280000</v>
      </c>
    </row>
    <row r="26" customFormat="false" ht="15" hidden="false" customHeight="false" outlineLevel="0" collapsed="false">
      <c r="D26" s="11" t="s">
        <v>25</v>
      </c>
      <c r="E26" s="12" t="n">
        <f aca="false">SUMIF('Trial Balance'!$A$5:$A$30,5300,'Trial Balance'!$D$5:$D$30)-SUMIF('Trial Balance'!$A$5:$A$30,5300,'Trial Balance'!$E$5:$E$30)</f>
        <v>75000</v>
      </c>
    </row>
    <row r="27" customFormat="false" ht="15" hidden="false" customHeight="false" outlineLevel="0" collapsed="false">
      <c r="D27" s="11" t="s">
        <v>26</v>
      </c>
      <c r="E27" s="12" t="n">
        <f aca="false">SUMIF('Trial Balance'!$A$5:$A$30,5400,'Trial Balance'!$D$5:$D$30)-SUMIF('Trial Balance'!$A$5:$A$30,5400,'Trial Balance'!$E$5:$E$30)</f>
        <v>60000</v>
      </c>
    </row>
    <row r="28" customFormat="false" ht="15" hidden="false" customHeight="false" outlineLevel="0" collapsed="false">
      <c r="D28" s="11" t="s">
        <v>27</v>
      </c>
      <c r="E28" s="12" t="n">
        <f aca="false">SUMIF('Trial Balance'!$A$5:$A$30,5500,'Trial Balance'!$D$5:$D$30)-SUMIF('Trial Balance'!$A$5:$A$30,5500,'Trial Balance'!$E$5:$E$30)</f>
        <v>95000</v>
      </c>
    </row>
    <row r="29" customFormat="false" ht="15" hidden="false" customHeight="false" outlineLevel="0" collapsed="false">
      <c r="D29" s="11" t="s">
        <v>28</v>
      </c>
      <c r="E29" s="12" t="n">
        <f aca="false">SUMIF('Trial Balance'!$A$5:$A$30,5600,'Trial Balance'!$D$5:$D$30)-SUMIF('Trial Balance'!$A$5:$A$30,5600,'Trial Balance'!$E$5:$E$30)</f>
        <v>40000</v>
      </c>
    </row>
    <row r="30" customFormat="false" ht="15" hidden="false" customHeight="false" outlineLevel="0" collapsed="false">
      <c r="D30" s="11" t="s">
        <v>29</v>
      </c>
      <c r="E30" s="12" t="n">
        <f aca="false">SUMIF('Trial Balance'!$A$5:$A$30,5700,'Trial Balance'!$D$5:$D$30)-SUMIF('Trial Balance'!$A$5:$A$30,5700,'Trial Balance'!$E$5:$E$30)</f>
        <v>25000</v>
      </c>
    </row>
    <row r="31" customFormat="false" ht="15" hidden="false" customHeight="false" outlineLevel="0" collapsed="false">
      <c r="D31" s="11" t="s">
        <v>30</v>
      </c>
      <c r="E31" s="12" t="n">
        <f aca="false">SUMIF('Trial Balance'!$A$5:$A$30,5800,'Trial Balance'!$D$5:$D$30)-SUMIF('Trial Balance'!$A$5:$A$30,5800,'Trial Balance'!$E$5:$E$30)</f>
        <v>18000</v>
      </c>
    </row>
  </sheetData>
  <mergeCells count="18">
    <mergeCell ref="A9:B9"/>
    <mergeCell ref="C9:D9"/>
    <mergeCell ref="E9:F9"/>
    <mergeCell ref="A10:B10"/>
    <mergeCell ref="C10:D10"/>
    <mergeCell ref="E10:F10"/>
    <mergeCell ref="A12:B12"/>
    <mergeCell ref="C12:D12"/>
    <mergeCell ref="E12:F12"/>
    <mergeCell ref="A13:B13"/>
    <mergeCell ref="C13:D13"/>
    <mergeCell ref="E13:F13"/>
    <mergeCell ref="A15:B15"/>
    <mergeCell ref="C15:D15"/>
    <mergeCell ref="E15:F15"/>
    <mergeCell ref="A16:B16"/>
    <mergeCell ref="C16:D16"/>
    <mergeCell ref="E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20"/>
  </cols>
  <sheetData>
    <row r="1" customFormat="false" ht="19.7" hidden="false" customHeight="false" outlineLevel="0" collapsed="false">
      <c r="A1" s="13" t="s">
        <v>31</v>
      </c>
    </row>
    <row r="2" customFormat="false" ht="15" hidden="false" customHeight="false" outlineLevel="0" collapsed="false">
      <c r="A2" s="2" t="s">
        <v>32</v>
      </c>
    </row>
    <row r="4" customFormat="false" ht="15" hidden="false" customHeight="false" outlineLevel="0" collapsed="false">
      <c r="A4" s="14" t="s">
        <v>33</v>
      </c>
      <c r="B4" s="14" t="s">
        <v>34</v>
      </c>
      <c r="C4" s="14" t="s">
        <v>35</v>
      </c>
      <c r="D4" s="14" t="s">
        <v>36</v>
      </c>
    </row>
    <row r="5" customFormat="false" ht="15" hidden="false" customHeight="false" outlineLevel="0" collapsed="false">
      <c r="A5" s="15" t="n">
        <v>1010</v>
      </c>
      <c r="B5" s="15" t="s">
        <v>37</v>
      </c>
      <c r="C5" s="15" t="s">
        <v>38</v>
      </c>
      <c r="D5" s="15" t="s">
        <v>39</v>
      </c>
    </row>
    <row r="6" customFormat="false" ht="15" hidden="false" customHeight="false" outlineLevel="0" collapsed="false">
      <c r="A6" s="15" t="n">
        <v>1020</v>
      </c>
      <c r="B6" s="15" t="s">
        <v>40</v>
      </c>
      <c r="C6" s="15" t="s">
        <v>38</v>
      </c>
      <c r="D6" s="15" t="s">
        <v>39</v>
      </c>
    </row>
    <row r="7" customFormat="false" ht="15" hidden="false" customHeight="false" outlineLevel="0" collapsed="false">
      <c r="A7" s="15" t="n">
        <v>1100</v>
      </c>
      <c r="B7" s="15" t="s">
        <v>41</v>
      </c>
      <c r="C7" s="15" t="s">
        <v>38</v>
      </c>
      <c r="D7" s="15" t="s">
        <v>39</v>
      </c>
    </row>
    <row r="8" customFormat="false" ht="15" hidden="false" customHeight="false" outlineLevel="0" collapsed="false">
      <c r="A8" s="15" t="n">
        <v>1200</v>
      </c>
      <c r="B8" s="15" t="s">
        <v>42</v>
      </c>
      <c r="C8" s="15" t="s">
        <v>38</v>
      </c>
      <c r="D8" s="15" t="s">
        <v>39</v>
      </c>
    </row>
    <row r="9" customFormat="false" ht="15" hidden="false" customHeight="false" outlineLevel="0" collapsed="false">
      <c r="A9" s="15" t="n">
        <v>1500</v>
      </c>
      <c r="B9" s="15" t="s">
        <v>43</v>
      </c>
      <c r="C9" s="15" t="s">
        <v>38</v>
      </c>
      <c r="D9" s="15" t="s">
        <v>39</v>
      </c>
    </row>
    <row r="10" customFormat="false" ht="15" hidden="false" customHeight="false" outlineLevel="0" collapsed="false">
      <c r="A10" s="15" t="n">
        <v>1550</v>
      </c>
      <c r="B10" s="15" t="s">
        <v>44</v>
      </c>
      <c r="C10" s="15" t="s">
        <v>38</v>
      </c>
      <c r="D10" s="15" t="s">
        <v>45</v>
      </c>
    </row>
    <row r="11" customFormat="false" ht="15" hidden="false" customHeight="false" outlineLevel="0" collapsed="false">
      <c r="A11" s="15" t="n">
        <v>1600</v>
      </c>
      <c r="B11" s="15" t="s">
        <v>46</v>
      </c>
      <c r="C11" s="15" t="s">
        <v>38</v>
      </c>
      <c r="D11" s="15" t="s">
        <v>45</v>
      </c>
    </row>
    <row r="12" customFormat="false" ht="15" hidden="false" customHeight="false" outlineLevel="0" collapsed="false">
      <c r="A12" s="15" t="n">
        <v>1700</v>
      </c>
      <c r="B12" s="15" t="s">
        <v>47</v>
      </c>
      <c r="C12" s="15" t="s">
        <v>38</v>
      </c>
      <c r="D12" s="15" t="s">
        <v>45</v>
      </c>
    </row>
    <row r="13" customFormat="false" ht="15" hidden="false" customHeight="false" outlineLevel="0" collapsed="false">
      <c r="A13" s="15" t="n">
        <v>1750</v>
      </c>
      <c r="B13" s="15" t="s">
        <v>48</v>
      </c>
      <c r="C13" s="15" t="s">
        <v>38</v>
      </c>
      <c r="D13" s="15" t="s">
        <v>45</v>
      </c>
    </row>
    <row r="14" customFormat="false" ht="15" hidden="false" customHeight="false" outlineLevel="0" collapsed="false">
      <c r="A14" s="15" t="n">
        <v>2000</v>
      </c>
      <c r="B14" s="15" t="s">
        <v>49</v>
      </c>
      <c r="C14" s="15" t="s">
        <v>50</v>
      </c>
      <c r="D14" s="15" t="s">
        <v>51</v>
      </c>
    </row>
    <row r="15" customFormat="false" ht="15" hidden="false" customHeight="false" outlineLevel="0" collapsed="false">
      <c r="A15" s="15" t="n">
        <v>2100</v>
      </c>
      <c r="B15" s="15" t="s">
        <v>52</v>
      </c>
      <c r="C15" s="15" t="s">
        <v>50</v>
      </c>
      <c r="D15" s="15" t="s">
        <v>51</v>
      </c>
    </row>
    <row r="16" customFormat="false" ht="15" hidden="false" customHeight="false" outlineLevel="0" collapsed="false">
      <c r="A16" s="15" t="n">
        <v>2200</v>
      </c>
      <c r="B16" s="15" t="s">
        <v>53</v>
      </c>
      <c r="C16" s="15" t="s">
        <v>50</v>
      </c>
      <c r="D16" s="15" t="s">
        <v>54</v>
      </c>
    </row>
    <row r="17" customFormat="false" ht="15" hidden="false" customHeight="false" outlineLevel="0" collapsed="false">
      <c r="A17" s="15" t="n">
        <v>3000</v>
      </c>
      <c r="B17" s="15" t="s">
        <v>55</v>
      </c>
      <c r="C17" s="15" t="s">
        <v>56</v>
      </c>
      <c r="D17" s="15" t="s">
        <v>56</v>
      </c>
    </row>
    <row r="18" customFormat="false" ht="15" hidden="false" customHeight="false" outlineLevel="0" collapsed="false">
      <c r="A18" s="15" t="n">
        <v>3100</v>
      </c>
      <c r="B18" s="15" t="s">
        <v>57</v>
      </c>
      <c r="C18" s="15" t="s">
        <v>56</v>
      </c>
      <c r="D18" s="15" t="s">
        <v>56</v>
      </c>
    </row>
    <row r="19" customFormat="false" ht="15" hidden="false" customHeight="false" outlineLevel="0" collapsed="false">
      <c r="A19" s="15" t="n">
        <v>4000</v>
      </c>
      <c r="B19" s="15" t="s">
        <v>19</v>
      </c>
      <c r="C19" s="15" t="s">
        <v>58</v>
      </c>
      <c r="D19" s="15" t="s">
        <v>59</v>
      </c>
    </row>
    <row r="20" customFormat="false" ht="15" hidden="false" customHeight="false" outlineLevel="0" collapsed="false">
      <c r="A20" s="15" t="n">
        <v>4010</v>
      </c>
      <c r="B20" s="15" t="s">
        <v>21</v>
      </c>
      <c r="C20" s="15" t="s">
        <v>58</v>
      </c>
      <c r="D20" s="15" t="s">
        <v>59</v>
      </c>
    </row>
    <row r="21" customFormat="false" ht="15" hidden="false" customHeight="false" outlineLevel="0" collapsed="false">
      <c r="A21" s="15" t="n">
        <v>4020</v>
      </c>
      <c r="B21" s="15" t="s">
        <v>23</v>
      </c>
      <c r="C21" s="15" t="s">
        <v>58</v>
      </c>
      <c r="D21" s="15" t="s">
        <v>59</v>
      </c>
    </row>
    <row r="22" customFormat="false" ht="15" hidden="false" customHeight="false" outlineLevel="0" collapsed="false">
      <c r="A22" s="15" t="n">
        <v>5000</v>
      </c>
      <c r="B22" s="15" t="s">
        <v>20</v>
      </c>
      <c r="C22" s="15" t="s">
        <v>60</v>
      </c>
      <c r="D22" s="15" t="s">
        <v>61</v>
      </c>
    </row>
    <row r="23" customFormat="false" ht="15" hidden="false" customHeight="false" outlineLevel="0" collapsed="false">
      <c r="A23" s="15" t="n">
        <v>5100</v>
      </c>
      <c r="B23" s="15" t="s">
        <v>22</v>
      </c>
      <c r="C23" s="15" t="s">
        <v>60</v>
      </c>
      <c r="D23" s="15" t="s">
        <v>61</v>
      </c>
    </row>
    <row r="24" customFormat="false" ht="15" hidden="false" customHeight="false" outlineLevel="0" collapsed="false">
      <c r="A24" s="15" t="n">
        <v>5200</v>
      </c>
      <c r="B24" s="15" t="s">
        <v>24</v>
      </c>
      <c r="C24" s="15" t="s">
        <v>60</v>
      </c>
      <c r="D24" s="15" t="s">
        <v>61</v>
      </c>
    </row>
    <row r="25" customFormat="false" ht="15" hidden="false" customHeight="false" outlineLevel="0" collapsed="false">
      <c r="A25" s="15" t="n">
        <v>5300</v>
      </c>
      <c r="B25" s="15" t="s">
        <v>25</v>
      </c>
      <c r="C25" s="15" t="s">
        <v>60</v>
      </c>
      <c r="D25" s="15" t="s">
        <v>61</v>
      </c>
    </row>
    <row r="26" customFormat="false" ht="15" hidden="false" customHeight="false" outlineLevel="0" collapsed="false">
      <c r="A26" s="15" t="n">
        <v>5400</v>
      </c>
      <c r="B26" s="15" t="s">
        <v>26</v>
      </c>
      <c r="C26" s="15" t="s">
        <v>60</v>
      </c>
      <c r="D26" s="15" t="s">
        <v>61</v>
      </c>
    </row>
    <row r="27" customFormat="false" ht="15" hidden="false" customHeight="false" outlineLevel="0" collapsed="false">
      <c r="A27" s="15" t="n">
        <v>5500</v>
      </c>
      <c r="B27" s="15" t="s">
        <v>27</v>
      </c>
      <c r="C27" s="15" t="s">
        <v>60</v>
      </c>
      <c r="D27" s="15" t="s">
        <v>61</v>
      </c>
    </row>
    <row r="28" customFormat="false" ht="15" hidden="false" customHeight="false" outlineLevel="0" collapsed="false">
      <c r="A28" s="15" t="n">
        <v>5600</v>
      </c>
      <c r="B28" s="15" t="s">
        <v>28</v>
      </c>
      <c r="C28" s="15" t="s">
        <v>60</v>
      </c>
      <c r="D28" s="15" t="s">
        <v>61</v>
      </c>
    </row>
    <row r="29" customFormat="false" ht="15" hidden="false" customHeight="false" outlineLevel="0" collapsed="false">
      <c r="A29" s="15" t="n">
        <v>5700</v>
      </c>
      <c r="B29" s="15" t="s">
        <v>29</v>
      </c>
      <c r="C29" s="15" t="s">
        <v>60</v>
      </c>
      <c r="D29" s="15" t="s">
        <v>61</v>
      </c>
    </row>
    <row r="30" customFormat="false" ht="15" hidden="false" customHeight="false" outlineLevel="0" collapsed="false">
      <c r="A30" s="15" t="n">
        <v>5800</v>
      </c>
      <c r="B30" s="15" t="s">
        <v>30</v>
      </c>
      <c r="C30" s="15" t="s">
        <v>60</v>
      </c>
      <c r="D30" s="15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15"/>
  </cols>
  <sheetData>
    <row r="1" customFormat="false" ht="19.7" hidden="false" customHeight="false" outlineLevel="0" collapsed="false">
      <c r="A1" s="13" t="s">
        <v>62</v>
      </c>
    </row>
    <row r="2" customFormat="false" ht="15" hidden="false" customHeight="false" outlineLevel="0" collapsed="false">
      <c r="A2" s="2" t="s">
        <v>63</v>
      </c>
    </row>
    <row r="4" customFormat="false" ht="15" hidden="false" customHeight="false" outlineLevel="0" collapsed="false">
      <c r="A4" s="14" t="s">
        <v>64</v>
      </c>
      <c r="B4" s="14" t="s">
        <v>65</v>
      </c>
      <c r="C4" s="14" t="s">
        <v>66</v>
      </c>
      <c r="D4" s="14" t="s">
        <v>67</v>
      </c>
      <c r="E4" s="14" t="s">
        <v>68</v>
      </c>
      <c r="F4" s="14" t="s">
        <v>69</v>
      </c>
      <c r="G4" s="14" t="s">
        <v>70</v>
      </c>
    </row>
    <row r="5" customFormat="false" ht="15" hidden="false" customHeight="false" outlineLevel="0" collapsed="false">
      <c r="A5" s="16" t="s">
        <v>71</v>
      </c>
      <c r="B5" s="16" t="s">
        <v>72</v>
      </c>
      <c r="C5" s="16" t="n">
        <v>1020</v>
      </c>
      <c r="D5" s="17" t="str">
        <f aca="false">IFERROR(VLOOKUP(C5,COA,2,FALSE()),"")</f>
        <v>Bank</v>
      </c>
      <c r="E5" s="16" t="n">
        <v>3000</v>
      </c>
      <c r="F5" s="17" t="str">
        <f aca="false">IFERROR(VLOOKUP(E5,COA,2,FALSE()),"")</f>
        <v>Share Capital</v>
      </c>
      <c r="G5" s="18" t="n">
        <v>15000000</v>
      </c>
    </row>
    <row r="6" customFormat="false" ht="15" hidden="false" customHeight="false" outlineLevel="0" collapsed="false">
      <c r="A6" s="16" t="s">
        <v>73</v>
      </c>
      <c r="B6" s="16" t="s">
        <v>74</v>
      </c>
      <c r="C6" s="16" t="n">
        <v>1750</v>
      </c>
      <c r="D6" s="17" t="str">
        <f aca="false">IFERROR(VLOOKUP(C6,COA,2,FALSE()),"")</f>
        <v>Office Equipment</v>
      </c>
      <c r="E6" s="16" t="n">
        <v>1020</v>
      </c>
      <c r="F6" s="17" t="str">
        <f aca="false">IFERROR(VLOOKUP(E6,COA,2,FALSE()),"")</f>
        <v>Bank</v>
      </c>
      <c r="G6" s="18" t="n">
        <v>120000</v>
      </c>
    </row>
    <row r="7" customFormat="false" ht="15" hidden="false" customHeight="false" outlineLevel="0" collapsed="false">
      <c r="A7" s="16" t="s">
        <v>75</v>
      </c>
      <c r="B7" s="16" t="s">
        <v>76</v>
      </c>
      <c r="C7" s="16" t="n">
        <v>1550</v>
      </c>
      <c r="D7" s="17" t="str">
        <f aca="false">IFERROR(VLOOKUP(C7,COA,2,FALSE()),"")</f>
        <v>Lease Deposit</v>
      </c>
      <c r="E7" s="16" t="n">
        <v>1020</v>
      </c>
      <c r="F7" s="17" t="str">
        <f aca="false">IFERROR(VLOOKUP(E7,COA,2,FALSE()),"")</f>
        <v>Bank</v>
      </c>
      <c r="G7" s="18" t="n">
        <v>2500000</v>
      </c>
    </row>
    <row r="8" customFormat="false" ht="15" hidden="false" customHeight="false" outlineLevel="0" collapsed="false">
      <c r="A8" s="16" t="s">
        <v>77</v>
      </c>
      <c r="B8" s="16" t="s">
        <v>78</v>
      </c>
      <c r="C8" s="16" t="n">
        <v>5000</v>
      </c>
      <c r="D8" s="17" t="str">
        <f aca="false">IFERROR(VLOOKUP(C8,COA,2,FALSE()),"")</f>
        <v>Fuel Expense</v>
      </c>
      <c r="E8" s="16" t="n">
        <v>1020</v>
      </c>
      <c r="F8" s="17" t="str">
        <f aca="false">IFERROR(VLOOKUP(E8,COA,2,FALSE()),"")</f>
        <v>Bank</v>
      </c>
      <c r="G8" s="18" t="n">
        <v>350000</v>
      </c>
    </row>
    <row r="9" customFormat="false" ht="15" hidden="false" customHeight="false" outlineLevel="0" collapsed="false">
      <c r="A9" s="16" t="s">
        <v>79</v>
      </c>
      <c r="B9" s="16" t="s">
        <v>80</v>
      </c>
      <c r="C9" s="16" t="n">
        <v>1020</v>
      </c>
      <c r="D9" s="17" t="str">
        <f aca="false">IFERROR(VLOOKUP(C9,COA,2,FALSE()),"")</f>
        <v>Bank</v>
      </c>
      <c r="E9" s="16" t="n">
        <v>4000</v>
      </c>
      <c r="F9" s="17" t="str">
        <f aca="false">IFERROR(VLOOKUP(E9,COA,2,FALSE()),"")</f>
        <v>Passenger Revenue</v>
      </c>
      <c r="G9" s="18" t="n">
        <v>1250000</v>
      </c>
    </row>
    <row r="10" customFormat="false" ht="15" hidden="false" customHeight="false" outlineLevel="0" collapsed="false">
      <c r="A10" s="16" t="s">
        <v>81</v>
      </c>
      <c r="B10" s="16" t="s">
        <v>82</v>
      </c>
      <c r="C10" s="16" t="n">
        <v>1020</v>
      </c>
      <c r="D10" s="17" t="str">
        <f aca="false">IFERROR(VLOOKUP(C10,COA,2,FALSE()),"")</f>
        <v>Bank</v>
      </c>
      <c r="E10" s="16" t="n">
        <v>4010</v>
      </c>
      <c r="F10" s="17" t="str">
        <f aca="false">IFERROR(VLOOKUP(E10,COA,2,FALSE()),"")</f>
        <v>Cargo Revenue</v>
      </c>
      <c r="G10" s="18" t="n">
        <v>420000</v>
      </c>
    </row>
    <row r="11" customFormat="false" ht="15" hidden="false" customHeight="false" outlineLevel="0" collapsed="false">
      <c r="A11" s="16" t="s">
        <v>83</v>
      </c>
      <c r="B11" s="16" t="s">
        <v>84</v>
      </c>
      <c r="C11" s="16" t="n">
        <v>5300</v>
      </c>
      <c r="D11" s="17" t="str">
        <f aca="false">IFERROR(VLOOKUP(C11,COA,2,FALSE()),"")</f>
        <v>Airport Charges</v>
      </c>
      <c r="E11" s="16" t="n">
        <v>1020</v>
      </c>
      <c r="F11" s="17" t="str">
        <f aca="false">IFERROR(VLOOKUP(E11,COA,2,FALSE()),"")</f>
        <v>Bank</v>
      </c>
      <c r="G11" s="18" t="n">
        <v>75000</v>
      </c>
    </row>
    <row r="12" customFormat="false" ht="15" hidden="false" customHeight="false" outlineLevel="0" collapsed="false">
      <c r="A12" s="16" t="s">
        <v>85</v>
      </c>
      <c r="B12" s="16" t="s">
        <v>86</v>
      </c>
      <c r="C12" s="16" t="n">
        <v>5200</v>
      </c>
      <c r="D12" s="17" t="str">
        <f aca="false">IFERROR(VLOOKUP(C12,COA,2,FALSE()),"")</f>
        <v>Salary Expense</v>
      </c>
      <c r="E12" s="16" t="n">
        <v>1020</v>
      </c>
      <c r="F12" s="17" t="str">
        <f aca="false">IFERROR(VLOOKUP(E12,COA,2,FALSE()),"")</f>
        <v>Bank</v>
      </c>
      <c r="G12" s="18" t="n">
        <v>280000</v>
      </c>
    </row>
    <row r="13" customFormat="false" ht="15" hidden="false" customHeight="false" outlineLevel="0" collapsed="false">
      <c r="A13" s="16" t="s">
        <v>87</v>
      </c>
      <c r="B13" s="16" t="s">
        <v>88</v>
      </c>
      <c r="C13" s="16" t="n">
        <v>5100</v>
      </c>
      <c r="D13" s="17" t="str">
        <f aca="false">IFERROR(VLOOKUP(C13,COA,2,FALSE()),"")</f>
        <v>Maintenance Expense</v>
      </c>
      <c r="E13" s="16" t="n">
        <v>1020</v>
      </c>
      <c r="F13" s="17" t="str">
        <f aca="false">IFERROR(VLOOKUP(E13,COA,2,FALSE()),"")</f>
        <v>Bank</v>
      </c>
      <c r="G13" s="18" t="n">
        <v>145000</v>
      </c>
    </row>
    <row r="14" customFormat="false" ht="15" hidden="false" customHeight="false" outlineLevel="0" collapsed="false">
      <c r="A14" s="16" t="s">
        <v>89</v>
      </c>
      <c r="B14" s="16" t="s">
        <v>90</v>
      </c>
      <c r="C14" s="16" t="n">
        <v>5500</v>
      </c>
      <c r="D14" s="17" t="str">
        <f aca="false">IFERROR(VLOOKUP(C14,COA,2,FALSE()),"")</f>
        <v>Insurance Expense</v>
      </c>
      <c r="E14" s="16" t="n">
        <v>1020</v>
      </c>
      <c r="F14" s="17" t="str">
        <f aca="false">IFERROR(VLOOKUP(E14,COA,2,FALSE()),"")</f>
        <v>Bank</v>
      </c>
      <c r="G14" s="18" t="n">
        <v>95000</v>
      </c>
    </row>
    <row r="15" customFormat="false" ht="15" hidden="false" customHeight="false" outlineLevel="0" collapsed="false">
      <c r="A15" s="16" t="s">
        <v>91</v>
      </c>
      <c r="B15" s="16" t="s">
        <v>92</v>
      </c>
      <c r="C15" s="16" t="n">
        <v>5400</v>
      </c>
      <c r="D15" s="17" t="str">
        <f aca="false">IFERROR(VLOOKUP(C15,COA,2,FALSE()),"")</f>
        <v>Marketing Expense</v>
      </c>
      <c r="E15" s="16" t="n">
        <v>1020</v>
      </c>
      <c r="F15" s="17" t="str">
        <f aca="false">IFERROR(VLOOKUP(E15,COA,2,FALSE()),"")</f>
        <v>Bank</v>
      </c>
      <c r="G15" s="18" t="n">
        <v>60000</v>
      </c>
    </row>
    <row r="16" customFormat="false" ht="15" hidden="false" customHeight="false" outlineLevel="0" collapsed="false">
      <c r="A16" s="16" t="s">
        <v>93</v>
      </c>
      <c r="B16" s="16" t="s">
        <v>94</v>
      </c>
      <c r="C16" s="16" t="n">
        <v>5600</v>
      </c>
      <c r="D16" s="17" t="str">
        <f aca="false">IFERROR(VLOOKUP(C16,COA,2,FALSE()),"")</f>
        <v>Office Rent</v>
      </c>
      <c r="E16" s="16" t="n">
        <v>1020</v>
      </c>
      <c r="F16" s="17" t="str">
        <f aca="false">IFERROR(VLOOKUP(E16,COA,2,FALSE()),"")</f>
        <v>Bank</v>
      </c>
      <c r="G16" s="18" t="n">
        <v>40000</v>
      </c>
    </row>
    <row r="17" customFormat="false" ht="15" hidden="false" customHeight="false" outlineLevel="0" collapsed="false">
      <c r="A17" s="16" t="s">
        <v>95</v>
      </c>
      <c r="B17" s="16" t="s">
        <v>96</v>
      </c>
      <c r="C17" s="16" t="n">
        <v>5800</v>
      </c>
      <c r="D17" s="17" t="str">
        <f aca="false">IFERROR(VLOOKUP(C17,COA,2,FALSE()),"")</f>
        <v>Utilities Expense</v>
      </c>
      <c r="E17" s="16" t="n">
        <v>1020</v>
      </c>
      <c r="F17" s="17" t="str">
        <f aca="false">IFERROR(VLOOKUP(E17,COA,2,FALSE()),"")</f>
        <v>Bank</v>
      </c>
      <c r="G17" s="18" t="n">
        <v>18000</v>
      </c>
    </row>
    <row r="18" customFormat="false" ht="15" hidden="false" customHeight="false" outlineLevel="0" collapsed="false">
      <c r="A18" s="16" t="s">
        <v>97</v>
      </c>
      <c r="B18" s="16" t="s">
        <v>98</v>
      </c>
      <c r="C18" s="16" t="n">
        <v>5700</v>
      </c>
      <c r="D18" s="17" t="str">
        <f aca="false">IFERROR(VLOOKUP(C18,COA,2,FALSE()),"")</f>
        <v>IT Expense</v>
      </c>
      <c r="E18" s="16" t="n">
        <v>1020</v>
      </c>
      <c r="F18" s="17" t="str">
        <f aca="false">IFERROR(VLOOKUP(E18,COA,2,FALSE()),"")</f>
        <v>Bank</v>
      </c>
      <c r="G18" s="18" t="n">
        <v>25000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5" min="4" style="0" width="16"/>
  </cols>
  <sheetData>
    <row r="1" customFormat="false" ht="19.7" hidden="false" customHeight="false" outlineLevel="0" collapsed="false">
      <c r="A1" s="13" t="s">
        <v>99</v>
      </c>
    </row>
    <row r="2" customFormat="false" ht="15" hidden="false" customHeight="false" outlineLevel="0" collapsed="false">
      <c r="A2" s="2" t="s">
        <v>100</v>
      </c>
    </row>
    <row r="4" customFormat="false" ht="15" hidden="false" customHeight="false" outlineLevel="0" collapsed="false">
      <c r="A4" s="14" t="s">
        <v>33</v>
      </c>
      <c r="B4" s="14" t="s">
        <v>34</v>
      </c>
      <c r="C4" s="14" t="s">
        <v>35</v>
      </c>
      <c r="D4" s="14" t="s">
        <v>101</v>
      </c>
      <c r="E4" s="14" t="s">
        <v>102</v>
      </c>
    </row>
    <row r="5" customFormat="false" ht="15" hidden="false" customHeight="false" outlineLevel="0" collapsed="false">
      <c r="A5" s="17" t="n">
        <v>1010</v>
      </c>
      <c r="B5" s="17" t="str">
        <f aca="false">VLOOKUP(A5,COA,2,FALSE())</f>
        <v>Cash</v>
      </c>
      <c r="C5" s="17" t="str">
        <f aca="false">VLOOKUP(A5,COA,3,FALSE())</f>
        <v>Asset</v>
      </c>
      <c r="D5" s="19" t="n">
        <f aca="false">SUMIF(Transactions[Debit Account Code],A5,Transactions[Amount (SAR)])</f>
        <v>0</v>
      </c>
      <c r="E5" s="19" t="n">
        <f aca="false">SUMIF(Transactions[Credit Account Code],A5,Transactions[Amount (SAR)])</f>
        <v>0</v>
      </c>
    </row>
    <row r="6" customFormat="false" ht="15" hidden="false" customHeight="false" outlineLevel="0" collapsed="false">
      <c r="A6" s="17" t="n">
        <v>1020</v>
      </c>
      <c r="B6" s="17" t="str">
        <f aca="false">VLOOKUP(A6,COA,2,FALSE())</f>
        <v>Bank</v>
      </c>
      <c r="C6" s="17" t="str">
        <f aca="false">VLOOKUP(A6,COA,3,FALSE())</f>
        <v>Asset</v>
      </c>
      <c r="D6" s="19" t="n">
        <f aca="false">SUMIF(Transactions[Debit Account Code],A6,Transactions[Amount (SAR)])</f>
        <v>16670000</v>
      </c>
      <c r="E6" s="19" t="n">
        <f aca="false">SUMIF(Transactions[Credit Account Code],A6,Transactions[Amount (SAR)])</f>
        <v>3708000</v>
      </c>
    </row>
    <row r="7" customFormat="false" ht="15" hidden="false" customHeight="false" outlineLevel="0" collapsed="false">
      <c r="A7" s="17" t="n">
        <v>1100</v>
      </c>
      <c r="B7" s="17" t="str">
        <f aca="false">VLOOKUP(A7,COA,2,FALSE())</f>
        <v>Accounts Receivable</v>
      </c>
      <c r="C7" s="17" t="str">
        <f aca="false">VLOOKUP(A7,COA,3,FALSE())</f>
        <v>Asset</v>
      </c>
      <c r="D7" s="19" t="n">
        <f aca="false">SUMIF(Transactions[Debit Account Code],A7,Transactions[Amount (SAR)])</f>
        <v>0</v>
      </c>
      <c r="E7" s="19" t="n">
        <f aca="false">SUMIF(Transactions[Credit Account Code],A7,Transactions[Amount (SAR)])</f>
        <v>0</v>
      </c>
    </row>
    <row r="8" customFormat="false" ht="15" hidden="false" customHeight="false" outlineLevel="0" collapsed="false">
      <c r="A8" s="17" t="n">
        <v>1200</v>
      </c>
      <c r="B8" s="17" t="str">
        <f aca="false">VLOOKUP(A8,COA,2,FALSE())</f>
        <v>Inventory</v>
      </c>
      <c r="C8" s="17" t="str">
        <f aca="false">VLOOKUP(A8,COA,3,FALSE())</f>
        <v>Asset</v>
      </c>
      <c r="D8" s="19" t="n">
        <f aca="false">SUMIF(Transactions[Debit Account Code],A8,Transactions[Amount (SAR)])</f>
        <v>0</v>
      </c>
      <c r="E8" s="19" t="n">
        <f aca="false">SUMIF(Transactions[Credit Account Code],A8,Transactions[Amount (SAR)])</f>
        <v>0</v>
      </c>
    </row>
    <row r="9" customFormat="false" ht="15" hidden="false" customHeight="false" outlineLevel="0" collapsed="false">
      <c r="A9" s="17" t="n">
        <v>1500</v>
      </c>
      <c r="B9" s="17" t="str">
        <f aca="false">VLOOKUP(A9,COA,2,FALSE())</f>
        <v>Prepaid Expenses</v>
      </c>
      <c r="C9" s="17" t="str">
        <f aca="false">VLOOKUP(A9,COA,3,FALSE())</f>
        <v>Asset</v>
      </c>
      <c r="D9" s="19" t="n">
        <f aca="false">SUMIF(Transactions[Debit Account Code],A9,Transactions[Amount (SAR)])</f>
        <v>0</v>
      </c>
      <c r="E9" s="19" t="n">
        <f aca="false">SUMIF(Transactions[Credit Account Code],A9,Transactions[Amount (SAR)])</f>
        <v>0</v>
      </c>
    </row>
    <row r="10" customFormat="false" ht="15" hidden="false" customHeight="false" outlineLevel="0" collapsed="false">
      <c r="A10" s="17" t="n">
        <v>1550</v>
      </c>
      <c r="B10" s="17" t="str">
        <f aca="false">VLOOKUP(A10,COA,2,FALSE())</f>
        <v>Lease Deposit</v>
      </c>
      <c r="C10" s="17" t="str">
        <f aca="false">VLOOKUP(A10,COA,3,FALSE())</f>
        <v>Asset</v>
      </c>
      <c r="D10" s="19" t="n">
        <f aca="false">SUMIF(Transactions[Debit Account Code],A10,Transactions[Amount (SAR)])</f>
        <v>2500000</v>
      </c>
      <c r="E10" s="19" t="n">
        <f aca="false">SUMIF(Transactions[Credit Account Code],A10,Transactions[Amount (SAR)])</f>
        <v>0</v>
      </c>
    </row>
    <row r="11" customFormat="false" ht="15" hidden="false" customHeight="false" outlineLevel="0" collapsed="false">
      <c r="A11" s="17" t="n">
        <v>1600</v>
      </c>
      <c r="B11" s="17" t="str">
        <f aca="false">VLOOKUP(A11,COA,2,FALSE())</f>
        <v>Aircraft</v>
      </c>
      <c r="C11" s="17" t="str">
        <f aca="false">VLOOKUP(A11,COA,3,FALSE())</f>
        <v>Asset</v>
      </c>
      <c r="D11" s="19" t="n">
        <f aca="false">SUMIF(Transactions[Debit Account Code],A11,Transactions[Amount (SAR)])</f>
        <v>0</v>
      </c>
      <c r="E11" s="19" t="n">
        <f aca="false">SUMIF(Transactions[Credit Account Code],A11,Transactions[Amount (SAR)])</f>
        <v>0</v>
      </c>
    </row>
    <row r="12" customFormat="false" ht="15" hidden="false" customHeight="false" outlineLevel="0" collapsed="false">
      <c r="A12" s="17" t="n">
        <v>1700</v>
      </c>
      <c r="B12" s="17" t="str">
        <f aca="false">VLOOKUP(A12,COA,2,FALSE())</f>
        <v>Ground Equipment</v>
      </c>
      <c r="C12" s="17" t="str">
        <f aca="false">VLOOKUP(A12,COA,3,FALSE())</f>
        <v>Asset</v>
      </c>
      <c r="D12" s="19" t="n">
        <f aca="false">SUMIF(Transactions[Debit Account Code],A12,Transactions[Amount (SAR)])</f>
        <v>0</v>
      </c>
      <c r="E12" s="19" t="n">
        <f aca="false">SUMIF(Transactions[Credit Account Code],A12,Transactions[Amount (SAR)])</f>
        <v>0</v>
      </c>
    </row>
    <row r="13" customFormat="false" ht="15" hidden="false" customHeight="false" outlineLevel="0" collapsed="false">
      <c r="A13" s="17" t="n">
        <v>1750</v>
      </c>
      <c r="B13" s="17" t="str">
        <f aca="false">VLOOKUP(A13,COA,2,FALSE())</f>
        <v>Office Equipment</v>
      </c>
      <c r="C13" s="17" t="str">
        <f aca="false">VLOOKUP(A13,COA,3,FALSE())</f>
        <v>Asset</v>
      </c>
      <c r="D13" s="19" t="n">
        <f aca="false">SUMIF(Transactions[Debit Account Code],A13,Transactions[Amount (SAR)])</f>
        <v>120000</v>
      </c>
      <c r="E13" s="19" t="n">
        <f aca="false">SUMIF(Transactions[Credit Account Code],A13,Transactions[Amount (SAR)])</f>
        <v>0</v>
      </c>
    </row>
    <row r="14" customFormat="false" ht="15" hidden="false" customHeight="false" outlineLevel="0" collapsed="false">
      <c r="A14" s="17" t="n">
        <v>2000</v>
      </c>
      <c r="B14" s="17" t="str">
        <f aca="false">VLOOKUP(A14,COA,2,FALSE())</f>
        <v>Accounts Payable</v>
      </c>
      <c r="C14" s="17" t="str">
        <f aca="false">VLOOKUP(A14,COA,3,FALSE())</f>
        <v>Liability</v>
      </c>
      <c r="D14" s="19" t="n">
        <f aca="false">SUMIF(Transactions[Debit Account Code],A14,Transactions[Amount (SAR)])</f>
        <v>0</v>
      </c>
      <c r="E14" s="19" t="n">
        <f aca="false">SUMIF(Transactions[Credit Account Code],A14,Transactions[Amount (SAR)])</f>
        <v>0</v>
      </c>
    </row>
    <row r="15" customFormat="false" ht="15" hidden="false" customHeight="false" outlineLevel="0" collapsed="false">
      <c r="A15" s="17" t="n">
        <v>2100</v>
      </c>
      <c r="B15" s="17" t="str">
        <f aca="false">VLOOKUP(A15,COA,2,FALSE())</f>
        <v>Accrued Expenses</v>
      </c>
      <c r="C15" s="17" t="str">
        <f aca="false">VLOOKUP(A15,COA,3,FALSE())</f>
        <v>Liability</v>
      </c>
      <c r="D15" s="19" t="n">
        <f aca="false">SUMIF(Transactions[Debit Account Code],A15,Transactions[Amount (SAR)])</f>
        <v>0</v>
      </c>
      <c r="E15" s="19" t="n">
        <f aca="false">SUMIF(Transactions[Credit Account Code],A15,Transactions[Amount (SAR)])</f>
        <v>0</v>
      </c>
    </row>
    <row r="16" customFormat="false" ht="15" hidden="false" customHeight="false" outlineLevel="0" collapsed="false">
      <c r="A16" s="17" t="n">
        <v>2200</v>
      </c>
      <c r="B16" s="17" t="str">
        <f aca="false">VLOOKUP(A16,COA,2,FALSE())</f>
        <v>Lease Liability</v>
      </c>
      <c r="C16" s="17" t="str">
        <f aca="false">VLOOKUP(A16,COA,3,FALSE())</f>
        <v>Liability</v>
      </c>
      <c r="D16" s="19" t="n">
        <f aca="false">SUMIF(Transactions[Debit Account Code],A16,Transactions[Amount (SAR)])</f>
        <v>0</v>
      </c>
      <c r="E16" s="19" t="n">
        <f aca="false">SUMIF(Transactions[Credit Account Code],A16,Transactions[Amount (SAR)])</f>
        <v>0</v>
      </c>
    </row>
    <row r="17" customFormat="false" ht="15" hidden="false" customHeight="false" outlineLevel="0" collapsed="false">
      <c r="A17" s="17" t="n">
        <v>3000</v>
      </c>
      <c r="B17" s="17" t="str">
        <f aca="false">VLOOKUP(A17,COA,2,FALSE())</f>
        <v>Share Capital</v>
      </c>
      <c r="C17" s="17" t="str">
        <f aca="false">VLOOKUP(A17,COA,3,FALSE())</f>
        <v>Equity</v>
      </c>
      <c r="D17" s="19" t="n">
        <f aca="false">SUMIF(Transactions[Debit Account Code],A17,Transactions[Amount (SAR)])</f>
        <v>0</v>
      </c>
      <c r="E17" s="19" t="n">
        <f aca="false">SUMIF(Transactions[Credit Account Code],A17,Transactions[Amount (SAR)])</f>
        <v>15000000</v>
      </c>
    </row>
    <row r="18" customFormat="false" ht="15" hidden="false" customHeight="false" outlineLevel="0" collapsed="false">
      <c r="A18" s="17" t="n">
        <v>3100</v>
      </c>
      <c r="B18" s="17" t="str">
        <f aca="false">VLOOKUP(A18,COA,2,FALSE())</f>
        <v>Retained Earnings</v>
      </c>
      <c r="C18" s="17" t="str">
        <f aca="false">VLOOKUP(A18,COA,3,FALSE())</f>
        <v>Equity</v>
      </c>
      <c r="D18" s="19" t="n">
        <f aca="false">SUMIF(Transactions[Debit Account Code],A18,Transactions[Amount (SAR)])</f>
        <v>0</v>
      </c>
      <c r="E18" s="19" t="n">
        <f aca="false">SUMIF(Transactions[Credit Account Code],A18,Transactions[Amount (SAR)])</f>
        <v>0</v>
      </c>
    </row>
    <row r="19" customFormat="false" ht="15" hidden="false" customHeight="false" outlineLevel="0" collapsed="false">
      <c r="A19" s="17" t="n">
        <v>4000</v>
      </c>
      <c r="B19" s="17" t="str">
        <f aca="false">VLOOKUP(A19,COA,2,FALSE())</f>
        <v>Passenger Revenue</v>
      </c>
      <c r="C19" s="17" t="str">
        <f aca="false">VLOOKUP(A19,COA,3,FALSE())</f>
        <v>Revenue</v>
      </c>
      <c r="D19" s="19" t="n">
        <f aca="false">SUMIF(Transactions[Debit Account Code],A19,Transactions[Amount (SAR)])</f>
        <v>0</v>
      </c>
      <c r="E19" s="19" t="n">
        <f aca="false">SUMIF(Transactions[Credit Account Code],A19,Transactions[Amount (SAR)])</f>
        <v>1250000</v>
      </c>
    </row>
    <row r="20" customFormat="false" ht="15" hidden="false" customHeight="false" outlineLevel="0" collapsed="false">
      <c r="A20" s="17" t="n">
        <v>4010</v>
      </c>
      <c r="B20" s="17" t="str">
        <f aca="false">VLOOKUP(A20,COA,2,FALSE())</f>
        <v>Cargo Revenue</v>
      </c>
      <c r="C20" s="17" t="str">
        <f aca="false">VLOOKUP(A20,COA,3,FALSE())</f>
        <v>Revenue</v>
      </c>
      <c r="D20" s="19" t="n">
        <f aca="false">SUMIF(Transactions[Debit Account Code],A20,Transactions[Amount (SAR)])</f>
        <v>0</v>
      </c>
      <c r="E20" s="19" t="n">
        <f aca="false">SUMIF(Transactions[Credit Account Code],A20,Transactions[Amount (SAR)])</f>
        <v>420000</v>
      </c>
    </row>
    <row r="21" customFormat="false" ht="15" hidden="false" customHeight="false" outlineLevel="0" collapsed="false">
      <c r="A21" s="17" t="n">
        <v>4020</v>
      </c>
      <c r="B21" s="17" t="str">
        <f aca="false">VLOOKUP(A21,COA,2,FALSE())</f>
        <v>Charter Revenue</v>
      </c>
      <c r="C21" s="17" t="str">
        <f aca="false">VLOOKUP(A21,COA,3,FALSE())</f>
        <v>Revenue</v>
      </c>
      <c r="D21" s="19" t="n">
        <f aca="false">SUMIF(Transactions[Debit Account Code],A21,Transactions[Amount (SAR)])</f>
        <v>0</v>
      </c>
      <c r="E21" s="19" t="n">
        <f aca="false">SUMIF(Transactions[Credit Account Code],A21,Transactions[Amount (SAR)])</f>
        <v>0</v>
      </c>
    </row>
    <row r="22" customFormat="false" ht="15" hidden="false" customHeight="false" outlineLevel="0" collapsed="false">
      <c r="A22" s="17" t="n">
        <v>5000</v>
      </c>
      <c r="B22" s="17" t="str">
        <f aca="false">VLOOKUP(A22,COA,2,FALSE())</f>
        <v>Fuel Expense</v>
      </c>
      <c r="C22" s="17" t="str">
        <f aca="false">VLOOKUP(A22,COA,3,FALSE())</f>
        <v>Expense</v>
      </c>
      <c r="D22" s="19" t="n">
        <f aca="false">SUMIF(Transactions[Debit Account Code],A22,Transactions[Amount (SAR)])</f>
        <v>350000</v>
      </c>
      <c r="E22" s="19" t="n">
        <f aca="false">SUMIF(Transactions[Credit Account Code],A22,Transactions[Amount (SAR)])</f>
        <v>0</v>
      </c>
    </row>
    <row r="23" customFormat="false" ht="15" hidden="false" customHeight="false" outlineLevel="0" collapsed="false">
      <c r="A23" s="17" t="n">
        <v>5100</v>
      </c>
      <c r="B23" s="17" t="str">
        <f aca="false">VLOOKUP(A23,COA,2,FALSE())</f>
        <v>Maintenance Expense</v>
      </c>
      <c r="C23" s="17" t="str">
        <f aca="false">VLOOKUP(A23,COA,3,FALSE())</f>
        <v>Expense</v>
      </c>
      <c r="D23" s="19" t="n">
        <f aca="false">SUMIF(Transactions[Debit Account Code],A23,Transactions[Amount (SAR)])</f>
        <v>145000</v>
      </c>
      <c r="E23" s="19" t="n">
        <f aca="false">SUMIF(Transactions[Credit Account Code],A23,Transactions[Amount (SAR)])</f>
        <v>0</v>
      </c>
    </row>
    <row r="24" customFormat="false" ht="15" hidden="false" customHeight="false" outlineLevel="0" collapsed="false">
      <c r="A24" s="17" t="n">
        <v>5200</v>
      </c>
      <c r="B24" s="17" t="str">
        <f aca="false">VLOOKUP(A24,COA,2,FALSE())</f>
        <v>Salary Expense</v>
      </c>
      <c r="C24" s="17" t="str">
        <f aca="false">VLOOKUP(A24,COA,3,FALSE())</f>
        <v>Expense</v>
      </c>
      <c r="D24" s="19" t="n">
        <f aca="false">SUMIF(Transactions[Debit Account Code],A24,Transactions[Amount (SAR)])</f>
        <v>280000</v>
      </c>
      <c r="E24" s="19" t="n">
        <f aca="false">SUMIF(Transactions[Credit Account Code],A24,Transactions[Amount (SAR)])</f>
        <v>0</v>
      </c>
    </row>
    <row r="25" customFormat="false" ht="15" hidden="false" customHeight="false" outlineLevel="0" collapsed="false">
      <c r="A25" s="17" t="n">
        <v>5300</v>
      </c>
      <c r="B25" s="17" t="str">
        <f aca="false">VLOOKUP(A25,COA,2,FALSE())</f>
        <v>Airport Charges</v>
      </c>
      <c r="C25" s="17" t="str">
        <f aca="false">VLOOKUP(A25,COA,3,FALSE())</f>
        <v>Expense</v>
      </c>
      <c r="D25" s="19" t="n">
        <f aca="false">SUMIF(Transactions[Debit Account Code],A25,Transactions[Amount (SAR)])</f>
        <v>75000</v>
      </c>
      <c r="E25" s="19" t="n">
        <f aca="false">SUMIF(Transactions[Credit Account Code],A25,Transactions[Amount (SAR)])</f>
        <v>0</v>
      </c>
    </row>
    <row r="26" customFormat="false" ht="15" hidden="false" customHeight="false" outlineLevel="0" collapsed="false">
      <c r="A26" s="17" t="n">
        <v>5400</v>
      </c>
      <c r="B26" s="17" t="str">
        <f aca="false">VLOOKUP(A26,COA,2,FALSE())</f>
        <v>Marketing Expense</v>
      </c>
      <c r="C26" s="17" t="str">
        <f aca="false">VLOOKUP(A26,COA,3,FALSE())</f>
        <v>Expense</v>
      </c>
      <c r="D26" s="19" t="n">
        <f aca="false">SUMIF(Transactions[Debit Account Code],A26,Transactions[Amount (SAR)])</f>
        <v>60000</v>
      </c>
      <c r="E26" s="19" t="n">
        <f aca="false">SUMIF(Transactions[Credit Account Code],A26,Transactions[Amount (SAR)])</f>
        <v>0</v>
      </c>
    </row>
    <row r="27" customFormat="false" ht="15" hidden="false" customHeight="false" outlineLevel="0" collapsed="false">
      <c r="A27" s="17" t="n">
        <v>5500</v>
      </c>
      <c r="B27" s="17" t="str">
        <f aca="false">VLOOKUP(A27,COA,2,FALSE())</f>
        <v>Insurance Expense</v>
      </c>
      <c r="C27" s="17" t="str">
        <f aca="false">VLOOKUP(A27,COA,3,FALSE())</f>
        <v>Expense</v>
      </c>
      <c r="D27" s="19" t="n">
        <f aca="false">SUMIF(Transactions[Debit Account Code],A27,Transactions[Amount (SAR)])</f>
        <v>95000</v>
      </c>
      <c r="E27" s="19" t="n">
        <f aca="false">SUMIF(Transactions[Credit Account Code],A27,Transactions[Amount (SAR)])</f>
        <v>0</v>
      </c>
    </row>
    <row r="28" customFormat="false" ht="15" hidden="false" customHeight="false" outlineLevel="0" collapsed="false">
      <c r="A28" s="17" t="n">
        <v>5600</v>
      </c>
      <c r="B28" s="17" t="str">
        <f aca="false">VLOOKUP(A28,COA,2,FALSE())</f>
        <v>Office Rent</v>
      </c>
      <c r="C28" s="17" t="str">
        <f aca="false">VLOOKUP(A28,COA,3,FALSE())</f>
        <v>Expense</v>
      </c>
      <c r="D28" s="19" t="n">
        <f aca="false">SUMIF(Transactions[Debit Account Code],A28,Transactions[Amount (SAR)])</f>
        <v>40000</v>
      </c>
      <c r="E28" s="19" t="n">
        <f aca="false">SUMIF(Transactions[Credit Account Code],A28,Transactions[Amount (SAR)])</f>
        <v>0</v>
      </c>
    </row>
    <row r="29" customFormat="false" ht="15" hidden="false" customHeight="false" outlineLevel="0" collapsed="false">
      <c r="A29" s="17" t="n">
        <v>5700</v>
      </c>
      <c r="B29" s="17" t="str">
        <f aca="false">VLOOKUP(A29,COA,2,FALSE())</f>
        <v>IT Expense</v>
      </c>
      <c r="C29" s="17" t="str">
        <f aca="false">VLOOKUP(A29,COA,3,FALSE())</f>
        <v>Expense</v>
      </c>
      <c r="D29" s="19" t="n">
        <f aca="false">SUMIF(Transactions[Debit Account Code],A29,Transactions[Amount (SAR)])</f>
        <v>25000</v>
      </c>
      <c r="E29" s="19" t="n">
        <f aca="false">SUMIF(Transactions[Credit Account Code],A29,Transactions[Amount (SAR)])</f>
        <v>0</v>
      </c>
    </row>
    <row r="30" customFormat="false" ht="15" hidden="false" customHeight="false" outlineLevel="0" collapsed="false">
      <c r="A30" s="17" t="n">
        <v>5800</v>
      </c>
      <c r="B30" s="17" t="str">
        <f aca="false">VLOOKUP(A30,COA,2,FALSE())</f>
        <v>Utilities Expense</v>
      </c>
      <c r="C30" s="17" t="str">
        <f aca="false">VLOOKUP(A30,COA,3,FALSE())</f>
        <v>Expense</v>
      </c>
      <c r="D30" s="19" t="n">
        <f aca="false">SUMIF(Transactions[Debit Account Code],A30,Transactions[Amount (SAR)])</f>
        <v>18000</v>
      </c>
      <c r="E30" s="19" t="n">
        <f aca="false">SUMIF(Transactions[Credit Account Code],A30,Transactions[Amount (SAR)])</f>
        <v>0</v>
      </c>
    </row>
    <row r="31" customFormat="false" ht="15" hidden="false" customHeight="false" outlineLevel="0" collapsed="false">
      <c r="A31" s="20"/>
      <c r="B31" s="21" t="s">
        <v>103</v>
      </c>
      <c r="C31" s="20"/>
      <c r="D31" s="22" t="n">
        <f aca="false">SUM(D5:D30)</f>
        <v>20378000</v>
      </c>
      <c r="E31" s="22" t="n">
        <f aca="false">SUM(E5:E30)</f>
        <v>20378000</v>
      </c>
    </row>
    <row r="33" customFormat="false" ht="15" hidden="false" customHeight="false" outlineLevel="0" collapsed="false">
      <c r="B33" s="3" t="s">
        <v>104</v>
      </c>
      <c r="D33" s="3" t="str">
        <f aca="false">IF(D31=E31,"Balanced ✓","OUT OF BALANCE")</f>
        <v>Balanced ✓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"/>
    <col collapsed="false" customWidth="true" hidden="false" outlineLevel="0" max="3" min="3" style="0" width="16"/>
  </cols>
  <sheetData>
    <row r="1" customFormat="false" ht="19.7" hidden="false" customHeight="false" outlineLevel="0" collapsed="false">
      <c r="A1" s="13" t="s">
        <v>105</v>
      </c>
    </row>
    <row r="2" customFormat="false" ht="15" hidden="false" customHeight="false" outlineLevel="0" collapsed="false">
      <c r="A2" s="2" t="s">
        <v>106</v>
      </c>
    </row>
    <row r="4" customFormat="false" ht="15" hidden="false" customHeight="false" outlineLevel="0" collapsed="false">
      <c r="A4" s="23" t="s">
        <v>107</v>
      </c>
      <c r="B4" s="23"/>
      <c r="C4" s="23"/>
    </row>
    <row r="5" customFormat="false" ht="15" hidden="false" customHeight="false" outlineLevel="0" collapsed="false">
      <c r="A5" s="11" t="s">
        <v>19</v>
      </c>
      <c r="C5" s="24" t="n">
        <f aca="false">SUMIF('Trial Balance'!$A$5:$A$30,4000,'Trial Balance'!$E$5:$E$30)-SUMIF('Trial Balance'!$A$5:$A$30,4000,'Trial Balance'!$D$5:$D$30)</f>
        <v>1250000</v>
      </c>
    </row>
    <row r="6" customFormat="false" ht="15" hidden="false" customHeight="false" outlineLevel="0" collapsed="false">
      <c r="A6" s="11" t="s">
        <v>21</v>
      </c>
      <c r="C6" s="24" t="n">
        <f aca="false">SUMIF('Trial Balance'!$A$5:$A$30,4010,'Trial Balance'!$E$5:$E$30)-SUMIF('Trial Balance'!$A$5:$A$30,4010,'Trial Balance'!$D$5:$D$30)</f>
        <v>420000</v>
      </c>
    </row>
    <row r="7" customFormat="false" ht="15" hidden="false" customHeight="false" outlineLevel="0" collapsed="false">
      <c r="A7" s="11" t="s">
        <v>23</v>
      </c>
      <c r="C7" s="24" t="n">
        <f aca="false">SUMIF('Trial Balance'!$A$5:$A$30,4020,'Trial Balance'!$E$5:$E$30)-SUMIF('Trial Balance'!$A$5:$A$30,4020,'Trial Balance'!$D$5:$D$30)</f>
        <v>0</v>
      </c>
    </row>
    <row r="8" customFormat="false" ht="15" hidden="false" customHeight="false" outlineLevel="0" collapsed="false">
      <c r="A8" s="25" t="s">
        <v>108</v>
      </c>
      <c r="B8" s="26"/>
      <c r="C8" s="27" t="n">
        <f aca="false">SUM(C5:C7)</f>
        <v>1670000</v>
      </c>
    </row>
    <row r="10" customFormat="false" ht="15" hidden="false" customHeight="false" outlineLevel="0" collapsed="false">
      <c r="A10" s="23" t="s">
        <v>109</v>
      </c>
      <c r="B10" s="23"/>
      <c r="C10" s="23"/>
    </row>
    <row r="11" customFormat="false" ht="15" hidden="false" customHeight="false" outlineLevel="0" collapsed="false">
      <c r="A11" s="11" t="s">
        <v>20</v>
      </c>
      <c r="C11" s="24" t="n">
        <f aca="false">SUMIF('Trial Balance'!$A$5:$A$30,5000,'Trial Balance'!$D$5:$D$30)-SUMIF('Trial Balance'!$A$5:$A$30,5000,'Trial Balance'!$E$5:$E$30)</f>
        <v>350000</v>
      </c>
    </row>
    <row r="12" customFormat="false" ht="15" hidden="false" customHeight="false" outlineLevel="0" collapsed="false">
      <c r="A12" s="11" t="s">
        <v>22</v>
      </c>
      <c r="C12" s="24" t="n">
        <f aca="false">SUMIF('Trial Balance'!$A$5:$A$30,5100,'Trial Balance'!$D$5:$D$30)-SUMIF('Trial Balance'!$A$5:$A$30,5100,'Trial Balance'!$E$5:$E$30)</f>
        <v>145000</v>
      </c>
    </row>
    <row r="13" customFormat="false" ht="15" hidden="false" customHeight="false" outlineLevel="0" collapsed="false">
      <c r="A13" s="11" t="s">
        <v>24</v>
      </c>
      <c r="C13" s="24" t="n">
        <f aca="false">SUMIF('Trial Balance'!$A$5:$A$30,5200,'Trial Balance'!$D$5:$D$30)-SUMIF('Trial Balance'!$A$5:$A$30,5200,'Trial Balance'!$E$5:$E$30)</f>
        <v>280000</v>
      </c>
    </row>
    <row r="14" customFormat="false" ht="15" hidden="false" customHeight="false" outlineLevel="0" collapsed="false">
      <c r="A14" s="11" t="s">
        <v>25</v>
      </c>
      <c r="C14" s="24" t="n">
        <f aca="false">SUMIF('Trial Balance'!$A$5:$A$30,5300,'Trial Balance'!$D$5:$D$30)-SUMIF('Trial Balance'!$A$5:$A$30,5300,'Trial Balance'!$E$5:$E$30)</f>
        <v>75000</v>
      </c>
    </row>
    <row r="15" customFormat="false" ht="15" hidden="false" customHeight="false" outlineLevel="0" collapsed="false">
      <c r="A15" s="11" t="s">
        <v>26</v>
      </c>
      <c r="C15" s="24" t="n">
        <f aca="false">SUMIF('Trial Balance'!$A$5:$A$30,5400,'Trial Balance'!$D$5:$D$30)-SUMIF('Trial Balance'!$A$5:$A$30,5400,'Trial Balance'!$E$5:$E$30)</f>
        <v>60000</v>
      </c>
    </row>
    <row r="16" customFormat="false" ht="15" hidden="false" customHeight="false" outlineLevel="0" collapsed="false">
      <c r="A16" s="11" t="s">
        <v>27</v>
      </c>
      <c r="C16" s="24" t="n">
        <f aca="false">SUMIF('Trial Balance'!$A$5:$A$30,5500,'Trial Balance'!$D$5:$D$30)-SUMIF('Trial Balance'!$A$5:$A$30,5500,'Trial Balance'!$E$5:$E$30)</f>
        <v>95000</v>
      </c>
    </row>
    <row r="17" customFormat="false" ht="15" hidden="false" customHeight="false" outlineLevel="0" collapsed="false">
      <c r="A17" s="11" t="s">
        <v>28</v>
      </c>
      <c r="C17" s="24" t="n">
        <f aca="false">SUMIF('Trial Balance'!$A$5:$A$30,5600,'Trial Balance'!$D$5:$D$30)-SUMIF('Trial Balance'!$A$5:$A$30,5600,'Trial Balance'!$E$5:$E$30)</f>
        <v>40000</v>
      </c>
    </row>
    <row r="18" customFormat="false" ht="15" hidden="false" customHeight="false" outlineLevel="0" collapsed="false">
      <c r="A18" s="11" t="s">
        <v>29</v>
      </c>
      <c r="C18" s="24" t="n">
        <f aca="false">SUMIF('Trial Balance'!$A$5:$A$30,5700,'Trial Balance'!$D$5:$D$30)-SUMIF('Trial Balance'!$A$5:$A$30,5700,'Trial Balance'!$E$5:$E$30)</f>
        <v>25000</v>
      </c>
    </row>
    <row r="19" customFormat="false" ht="15" hidden="false" customHeight="false" outlineLevel="0" collapsed="false">
      <c r="A19" s="11" t="s">
        <v>30</v>
      </c>
      <c r="C19" s="24" t="n">
        <f aca="false">SUMIF('Trial Balance'!$A$5:$A$30,5800,'Trial Balance'!$D$5:$D$30)-SUMIF('Trial Balance'!$A$5:$A$30,5800,'Trial Balance'!$E$5:$E$30)</f>
        <v>18000</v>
      </c>
    </row>
    <row r="20" customFormat="false" ht="15" hidden="false" customHeight="false" outlineLevel="0" collapsed="false">
      <c r="A20" s="25" t="s">
        <v>110</v>
      </c>
      <c r="B20" s="26"/>
      <c r="C20" s="27" t="n">
        <f aca="false">SUM(C11:C19)</f>
        <v>1088000</v>
      </c>
    </row>
    <row r="22" customFormat="false" ht="16.15" hidden="false" customHeight="false" outlineLevel="0" collapsed="false">
      <c r="A22" s="28" t="s">
        <v>111</v>
      </c>
      <c r="B22" s="28"/>
      <c r="C22" s="29" t="n">
        <f aca="false">C8-C20</f>
        <v>582000</v>
      </c>
    </row>
  </sheetData>
  <mergeCells count="3">
    <mergeCell ref="A4:C4"/>
    <mergeCell ref="A10:C10"/>
    <mergeCell ref="A22:B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"/>
    <col collapsed="false" customWidth="true" hidden="false" outlineLevel="0" max="3" min="3" style="0" width="16"/>
  </cols>
  <sheetData>
    <row r="1" customFormat="false" ht="19.7" hidden="false" customHeight="false" outlineLevel="0" collapsed="false">
      <c r="A1" s="13" t="s">
        <v>112</v>
      </c>
    </row>
    <row r="2" customFormat="false" ht="15" hidden="false" customHeight="false" outlineLevel="0" collapsed="false">
      <c r="A2" s="2" t="s">
        <v>113</v>
      </c>
    </row>
    <row r="4" customFormat="false" ht="15" hidden="false" customHeight="false" outlineLevel="0" collapsed="false">
      <c r="A4" s="23" t="s">
        <v>114</v>
      </c>
      <c r="B4" s="23"/>
      <c r="C4" s="23"/>
    </row>
    <row r="5" customFormat="false" ht="15" hidden="false" customHeight="false" outlineLevel="0" collapsed="false">
      <c r="A5" s="11" t="s">
        <v>37</v>
      </c>
      <c r="C5" s="24" t="n">
        <f aca="false">SUMIF('Trial Balance'!$A$5:$A$30,1010,'Trial Balance'!$D$5:$D$30)-SUMIF('Trial Balance'!$A$5:$A$30,1010,'Trial Balance'!$E$5:$E$30)</f>
        <v>0</v>
      </c>
    </row>
    <row r="6" customFormat="false" ht="15" hidden="false" customHeight="false" outlineLevel="0" collapsed="false">
      <c r="A6" s="11" t="s">
        <v>40</v>
      </c>
      <c r="C6" s="24" t="n">
        <f aca="false">SUMIF('Trial Balance'!$A$5:$A$30,1020,'Trial Balance'!$D$5:$D$30)-SUMIF('Trial Balance'!$A$5:$A$30,1020,'Trial Balance'!$E$5:$E$30)</f>
        <v>12962000</v>
      </c>
    </row>
    <row r="7" customFormat="false" ht="15" hidden="false" customHeight="false" outlineLevel="0" collapsed="false">
      <c r="A7" s="11" t="s">
        <v>41</v>
      </c>
      <c r="C7" s="24" t="n">
        <f aca="false">SUMIF('Trial Balance'!$A$5:$A$30,1100,'Trial Balance'!$D$5:$D$30)-SUMIF('Trial Balance'!$A$5:$A$30,1100,'Trial Balance'!$E$5:$E$30)</f>
        <v>0</v>
      </c>
    </row>
    <row r="8" customFormat="false" ht="15" hidden="false" customHeight="false" outlineLevel="0" collapsed="false">
      <c r="A8" s="11" t="s">
        <v>42</v>
      </c>
      <c r="C8" s="24" t="n">
        <f aca="false">SUMIF('Trial Balance'!$A$5:$A$30,1200,'Trial Balance'!$D$5:$D$30)-SUMIF('Trial Balance'!$A$5:$A$30,1200,'Trial Balance'!$E$5:$E$30)</f>
        <v>0</v>
      </c>
    </row>
    <row r="9" customFormat="false" ht="15" hidden="false" customHeight="false" outlineLevel="0" collapsed="false">
      <c r="A9" s="11" t="s">
        <v>43</v>
      </c>
      <c r="C9" s="24" t="n">
        <f aca="false">SUMIF('Trial Balance'!$A$5:$A$30,1500,'Trial Balance'!$D$5:$D$30)-SUMIF('Trial Balance'!$A$5:$A$30,1500,'Trial Balance'!$E$5:$E$30)</f>
        <v>0</v>
      </c>
    </row>
    <row r="10" customFormat="false" ht="15" hidden="false" customHeight="false" outlineLevel="0" collapsed="false">
      <c r="A10" s="11" t="s">
        <v>44</v>
      </c>
      <c r="C10" s="24" t="n">
        <f aca="false">SUMIF('Trial Balance'!$A$5:$A$30,1550,'Trial Balance'!$D$5:$D$30)-SUMIF('Trial Balance'!$A$5:$A$30,1550,'Trial Balance'!$E$5:$E$30)</f>
        <v>2500000</v>
      </c>
    </row>
    <row r="11" customFormat="false" ht="15" hidden="false" customHeight="false" outlineLevel="0" collapsed="false">
      <c r="A11" s="11" t="s">
        <v>46</v>
      </c>
      <c r="C11" s="24" t="n">
        <f aca="false">SUMIF('Trial Balance'!$A$5:$A$30,1600,'Trial Balance'!$D$5:$D$30)-SUMIF('Trial Balance'!$A$5:$A$30,1600,'Trial Balance'!$E$5:$E$30)</f>
        <v>0</v>
      </c>
    </row>
    <row r="12" customFormat="false" ht="15" hidden="false" customHeight="false" outlineLevel="0" collapsed="false">
      <c r="A12" s="11" t="s">
        <v>47</v>
      </c>
      <c r="C12" s="24" t="n">
        <f aca="false">SUMIF('Trial Balance'!$A$5:$A$30,1700,'Trial Balance'!$D$5:$D$30)-SUMIF('Trial Balance'!$A$5:$A$30,1700,'Trial Balance'!$E$5:$E$30)</f>
        <v>0</v>
      </c>
    </row>
    <row r="13" customFormat="false" ht="15" hidden="false" customHeight="false" outlineLevel="0" collapsed="false">
      <c r="A13" s="11" t="s">
        <v>48</v>
      </c>
      <c r="C13" s="24" t="n">
        <f aca="false">SUMIF('Trial Balance'!$A$5:$A$30,1750,'Trial Balance'!$D$5:$D$30)-SUMIF('Trial Balance'!$A$5:$A$30,1750,'Trial Balance'!$E$5:$E$30)</f>
        <v>120000</v>
      </c>
    </row>
    <row r="14" customFormat="false" ht="15" hidden="false" customHeight="false" outlineLevel="0" collapsed="false">
      <c r="A14" s="25" t="s">
        <v>115</v>
      </c>
      <c r="B14" s="26"/>
      <c r="C14" s="27" t="n">
        <f aca="false">SUM(C5:C13)</f>
        <v>15582000</v>
      </c>
    </row>
    <row r="16" customFormat="false" ht="15" hidden="false" customHeight="false" outlineLevel="0" collapsed="false">
      <c r="A16" s="23" t="s">
        <v>116</v>
      </c>
      <c r="B16" s="23"/>
      <c r="C16" s="23"/>
    </row>
    <row r="17" customFormat="false" ht="15" hidden="false" customHeight="false" outlineLevel="0" collapsed="false">
      <c r="A17" s="11" t="s">
        <v>49</v>
      </c>
      <c r="C17" s="24" t="n">
        <f aca="false">SUMIF('Trial Balance'!$A$5:$A$30,2000,'Trial Balance'!$E$5:$E$30)-SUMIF('Trial Balance'!$A$5:$A$30,2000,'Trial Balance'!$D$5:$D$30)</f>
        <v>0</v>
      </c>
    </row>
    <row r="18" customFormat="false" ht="15" hidden="false" customHeight="false" outlineLevel="0" collapsed="false">
      <c r="A18" s="11" t="s">
        <v>52</v>
      </c>
      <c r="C18" s="24" t="n">
        <f aca="false">SUMIF('Trial Balance'!$A$5:$A$30,2100,'Trial Balance'!$E$5:$E$30)-SUMIF('Trial Balance'!$A$5:$A$30,2100,'Trial Balance'!$D$5:$D$30)</f>
        <v>0</v>
      </c>
    </row>
    <row r="19" customFormat="false" ht="15" hidden="false" customHeight="false" outlineLevel="0" collapsed="false">
      <c r="A19" s="11" t="s">
        <v>53</v>
      </c>
      <c r="C19" s="24" t="n">
        <f aca="false">SUMIF('Trial Balance'!$A$5:$A$30,2200,'Trial Balance'!$E$5:$E$30)-SUMIF('Trial Balance'!$A$5:$A$30,2200,'Trial Balance'!$D$5:$D$30)</f>
        <v>0</v>
      </c>
    </row>
    <row r="20" customFormat="false" ht="15" hidden="false" customHeight="false" outlineLevel="0" collapsed="false">
      <c r="A20" s="25" t="s">
        <v>117</v>
      </c>
      <c r="B20" s="26"/>
      <c r="C20" s="27" t="n">
        <f aca="false">SUM(C17:C19)</f>
        <v>0</v>
      </c>
    </row>
    <row r="22" customFormat="false" ht="15" hidden="false" customHeight="false" outlineLevel="0" collapsed="false">
      <c r="A22" s="23" t="s">
        <v>118</v>
      </c>
      <c r="B22" s="23"/>
      <c r="C22" s="23"/>
    </row>
    <row r="23" customFormat="false" ht="15" hidden="false" customHeight="false" outlineLevel="0" collapsed="false">
      <c r="A23" s="11" t="s">
        <v>55</v>
      </c>
      <c r="C23" s="24" t="n">
        <f aca="false">SUMIF('Trial Balance'!$A$5:$A$30,3000,'Trial Balance'!$E$5:$E$30)-SUMIF('Trial Balance'!$A$5:$A$30,3000,'Trial Balance'!$D$5:$D$30)</f>
        <v>15000000</v>
      </c>
    </row>
    <row r="24" customFormat="false" ht="15" hidden="false" customHeight="false" outlineLevel="0" collapsed="false">
      <c r="A24" s="11" t="s">
        <v>119</v>
      </c>
      <c r="C24" s="24" t="n">
        <f aca="false">'Profit and Loss'!C22</f>
        <v>582000</v>
      </c>
    </row>
    <row r="25" customFormat="false" ht="15" hidden="false" customHeight="false" outlineLevel="0" collapsed="false">
      <c r="A25" s="25" t="s">
        <v>120</v>
      </c>
      <c r="B25" s="26"/>
      <c r="C25" s="27" t="n">
        <f aca="false">SUM(C23:C24)</f>
        <v>15582000</v>
      </c>
    </row>
    <row r="27" customFormat="false" ht="15" hidden="false" customHeight="false" outlineLevel="0" collapsed="false">
      <c r="A27" s="30" t="s">
        <v>121</v>
      </c>
      <c r="B27" s="30"/>
      <c r="C27" s="31" t="n">
        <f aca="false">C20+C25</f>
        <v>15582000</v>
      </c>
    </row>
    <row r="29" customFormat="false" ht="15" hidden="false" customHeight="false" outlineLevel="0" collapsed="false">
      <c r="A29" s="3" t="s">
        <v>122</v>
      </c>
      <c r="C29" s="3" t="str">
        <f aca="false">IF(ROUND(C14-C27,2)=0,"Balanced ✓","OUT OF BALANCE")</f>
        <v>Balanced ✓</v>
      </c>
    </row>
  </sheetData>
  <mergeCells count="4">
    <mergeCell ref="A4:C4"/>
    <mergeCell ref="A16:C16"/>
    <mergeCell ref="A22:C22"/>
    <mergeCell ref="A27:B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4"/>
    <col collapsed="false" customWidth="true" hidden="false" outlineLevel="0" max="3" min="3" style="0" width="16"/>
  </cols>
  <sheetData>
    <row r="1" customFormat="false" ht="19.7" hidden="false" customHeight="false" outlineLevel="0" collapsed="false">
      <c r="A1" s="13" t="s">
        <v>123</v>
      </c>
    </row>
    <row r="2" customFormat="false" ht="15" hidden="false" customHeight="false" outlineLevel="0" collapsed="false">
      <c r="A2" s="2" t="s">
        <v>124</v>
      </c>
    </row>
    <row r="4" customFormat="false" ht="15" hidden="false" customHeight="false" outlineLevel="0" collapsed="false">
      <c r="A4" s="23" t="s">
        <v>125</v>
      </c>
      <c r="B4" s="23"/>
      <c r="C4" s="23"/>
    </row>
    <row r="5" customFormat="false" ht="15" hidden="false" customHeight="false" outlineLevel="0" collapsed="false">
      <c r="A5" s="11" t="s">
        <v>126</v>
      </c>
      <c r="C5" s="24" t="n">
        <f aca="false">'Profit and Loss'!C8</f>
        <v>1670000</v>
      </c>
    </row>
    <row r="6" customFormat="false" ht="15" hidden="false" customHeight="false" outlineLevel="0" collapsed="false">
      <c r="A6" s="11" t="s">
        <v>127</v>
      </c>
      <c r="C6" s="24" t="n">
        <f aca="false">-'Profit and Loss'!C20</f>
        <v>-1088000</v>
      </c>
    </row>
    <row r="7" customFormat="false" ht="15" hidden="false" customHeight="false" outlineLevel="0" collapsed="false">
      <c r="A7" s="25" t="s">
        <v>128</v>
      </c>
      <c r="B7" s="26"/>
      <c r="C7" s="27" t="n">
        <f aca="false">SUM(C5:C6)</f>
        <v>582000</v>
      </c>
    </row>
    <row r="9" customFormat="false" ht="15" hidden="false" customHeight="false" outlineLevel="0" collapsed="false">
      <c r="A9" s="23" t="s">
        <v>129</v>
      </c>
      <c r="B9" s="23"/>
      <c r="C9" s="23"/>
    </row>
    <row r="10" customFormat="false" ht="15" hidden="false" customHeight="false" outlineLevel="0" collapsed="false">
      <c r="A10" s="11" t="s">
        <v>130</v>
      </c>
      <c r="C10" s="24" t="n">
        <f aca="false">-(SUMIF('Trial Balance'!$A$5:$A$30,1750,'Trial Balance'!$D$5:$D$30)-SUMIF('Trial Balance'!$A$5:$A$30,1750,'Trial Balance'!$E$5:$E$30))</f>
        <v>-120000</v>
      </c>
    </row>
    <row r="11" customFormat="false" ht="15" hidden="false" customHeight="false" outlineLevel="0" collapsed="false">
      <c r="A11" s="11" t="s">
        <v>131</v>
      </c>
      <c r="C11" s="24" t="n">
        <f aca="false">-(SUMIF('Trial Balance'!$A$5:$A$30,1550,'Trial Balance'!$D$5:$D$30)-SUMIF('Trial Balance'!$A$5:$A$30,1550,'Trial Balance'!$E$5:$E$30))</f>
        <v>-2500000</v>
      </c>
    </row>
    <row r="12" customFormat="false" ht="15" hidden="false" customHeight="false" outlineLevel="0" collapsed="false">
      <c r="A12" s="11" t="s">
        <v>132</v>
      </c>
      <c r="C12" s="24" t="n">
        <f aca="false">-(SUMIF('Trial Balance'!$A$5:$A$30,1600,'Trial Balance'!$D$5:$D$30)-SUMIF('Trial Balance'!$A$5:$A$30,1600,'Trial Balance'!$E$5:$E$30))</f>
        <v>-0</v>
      </c>
    </row>
    <row r="13" customFormat="false" ht="15" hidden="false" customHeight="false" outlineLevel="0" collapsed="false">
      <c r="A13" s="11" t="s">
        <v>133</v>
      </c>
      <c r="C13" s="24" t="n">
        <f aca="false">-(SUMIF('Trial Balance'!$A$5:$A$30,1700,'Trial Balance'!$D$5:$D$30)-SUMIF('Trial Balance'!$A$5:$A$30,1700,'Trial Balance'!$E$5:$E$30))</f>
        <v>-0</v>
      </c>
    </row>
    <row r="14" customFormat="false" ht="15" hidden="false" customHeight="false" outlineLevel="0" collapsed="false">
      <c r="A14" s="25" t="s">
        <v>134</v>
      </c>
      <c r="B14" s="26"/>
      <c r="C14" s="27" t="n">
        <f aca="false">SUM(C10:C13)</f>
        <v>-2620000</v>
      </c>
    </row>
    <row r="16" customFormat="false" ht="15" hidden="false" customHeight="false" outlineLevel="0" collapsed="false">
      <c r="A16" s="23" t="s">
        <v>135</v>
      </c>
      <c r="B16" s="23"/>
      <c r="C16" s="23"/>
    </row>
    <row r="17" customFormat="false" ht="15" hidden="false" customHeight="false" outlineLevel="0" collapsed="false">
      <c r="A17" s="11" t="s">
        <v>136</v>
      </c>
      <c r="C17" s="24" t="n">
        <f aca="false">SUMIF('Trial Balance'!$A$5:$A$30,3000,'Trial Balance'!$E$5:$E$30)-SUMIF('Trial Balance'!$A$5:$A$30,3000,'Trial Balance'!$D$5:$D$30)</f>
        <v>15000000</v>
      </c>
    </row>
    <row r="18" customFormat="false" ht="15" hidden="false" customHeight="false" outlineLevel="0" collapsed="false">
      <c r="A18" s="25" t="s">
        <v>137</v>
      </c>
      <c r="B18" s="26"/>
      <c r="C18" s="27" t="n">
        <f aca="false">SUM(C17:C17)</f>
        <v>15000000</v>
      </c>
    </row>
    <row r="20" customFormat="false" ht="15" hidden="false" customHeight="false" outlineLevel="0" collapsed="false">
      <c r="A20" s="30" t="s">
        <v>138</v>
      </c>
      <c r="B20" s="30"/>
      <c r="C20" s="31" t="n">
        <f aca="false">C7+C14+C18</f>
        <v>12962000</v>
      </c>
    </row>
    <row r="21" customFormat="false" ht="15" hidden="false" customHeight="false" outlineLevel="0" collapsed="false">
      <c r="A21" s="25" t="s">
        <v>139</v>
      </c>
      <c r="B21" s="26"/>
      <c r="C21" s="27" t="n">
        <f aca="false">'Balance Sheet'!C5+'Balance Sheet'!C6</f>
        <v>12962000</v>
      </c>
    </row>
  </sheetData>
  <mergeCells count="4">
    <mergeCell ref="A4:C4"/>
    <mergeCell ref="A9:C9"/>
    <mergeCell ref="A16:C16"/>
    <mergeCell ref="A20:B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2026-07-06T22:48:45Z</dcterms:created>
  <dc:creator>openpyxl</dc:creator>
  <dc:description/>
  <dc:language>en-US</dc:language>
  <cp:lastModifiedBy/>
  <dcterms:modified xsi:type="dcterms:W3CDTF">2026-07-06T22:48:47Z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